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TOCK VO" sheetId="2" state="visible" r:id="rId4"/>
    <sheet name="CRM CLIENTS" sheetId="3" state="visible" r:id="rId5"/>
    <sheet name="VENTES" sheetId="4" state="visible" r:id="rId6"/>
    <sheet name="ADMINISTRATIF" sheetId="5" state="visible" r:id="rId7"/>
    <sheet name="FINANCE" sheetId="6" state="visible" r:id="rId8"/>
    <sheet name="BON DE COMMANDE" sheetId="7" state="visible" r:id="rId9"/>
    <sheet name="PARAMÈTRES" sheetId="8" state="visible" r:id="rId10"/>
    <sheet name="📖 GUIDE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<sst xmlns="http://schemas.openxmlformats.org/spreadsheetml/2006/main" count="259" uniqueCount="229">
  <si>
    <t xml:space="preserve">🚗  SPIDERVO PRO  —  Gestion de Véhicules d'Occasion</t>
  </si>
  <si>
    <t xml:space="preserve">Tableau de bord professionnel — Mis à jour automatiquement</t>
  </si>
  <si>
    <t xml:space="preserve">  📦  INDICATEURS STOCK</t>
  </si>
  <si>
    <t xml:space="preserve">📦 VÉHICULES EN STOCK</t>
  </si>
  <si>
    <t xml:space="preserve">💰 VALEUR STOCK</t>
  </si>
  <si>
    <t xml:space="preserve">📈 MARGE POTENTIELLE</t>
  </si>
  <si>
    <t xml:space="preserve">🏷️ PRIX MOYEN</t>
  </si>
  <si>
    <t xml:space="preserve">⏳ VÉHICULES DORMANTS</t>
  </si>
  <si>
    <t xml:space="preserve">🔧 EN PRÉPARATION</t>
  </si>
  <si>
    <t xml:space="preserve">vs mois précédent</t>
  </si>
  <si>
    <t xml:space="preserve">  💰  PERFORMANCE COMMERCIALE DU MOIS</t>
  </si>
  <si>
    <t xml:space="preserve">🛒 VENDUS CE MOIS</t>
  </si>
  <si>
    <t xml:space="preserve">💵 CA MENSUEL</t>
  </si>
  <si>
    <t xml:space="preserve">💎 MARGE NETTE</t>
  </si>
  <si>
    <t xml:space="preserve">📊 TAUX DE MARGE</t>
  </si>
  <si>
    <t xml:space="preserve">🔥 LEADS ACTIFS</t>
  </si>
  <si>
    <t xml:space="preserve">📋 DOSSIERS INCOMPLETS</t>
  </si>
  <si>
    <t xml:space="preserve">NAVIGATION RAPIDE</t>
  </si>
  <si>
    <t xml:space="preserve">📦  STOCK VO</t>
  </si>
  <si>
    <t xml:space="preserve">👥  CRM CLIENTS</t>
  </si>
  <si>
    <t xml:space="preserve">💰  VENTES</t>
  </si>
  <si>
    <t xml:space="preserve">📄  ADMINISTRATIF / FINANCE</t>
  </si>
  <si>
    <t xml:space="preserve">SpiderVO Pro v3.0  |  Système de gestion VO professionnel  |  © 2024</t>
  </si>
  <si>
    <t xml:space="preserve">IDENTIFICATION</t>
  </si>
  <si>
    <t xml:space="preserve">CARACTÉRISTIQUES</t>
  </si>
  <si>
    <t xml:space="preserve">ACHAT</t>
  </si>
  <si>
    <t xml:space="preserve">CALCULS</t>
  </si>
  <si>
    <t xml:space="preserve">VENTE</t>
  </si>
  <si>
    <t xml:space="preserve">INFO</t>
  </si>
  <si>
    <t xml:space="preserve">ID Dossier</t>
  </si>
  <si>
    <t xml:space="preserve">Immatriculation</t>
  </si>
  <si>
    <t xml:space="preserve">VIN</t>
  </si>
  <si>
    <t xml:space="preserve">Marque</t>
  </si>
  <si>
    <t xml:space="preserve">Modèle</t>
  </si>
  <si>
    <t xml:space="preserve">Version</t>
  </si>
  <si>
    <t xml:space="preserve">Finition</t>
  </si>
  <si>
    <t xml:space="preserve">Année</t>
  </si>
  <si>
    <t xml:space="preserve">Kilométrage</t>
  </si>
  <si>
    <t xml:space="preserve">Carburant</t>
  </si>
  <si>
    <t xml:space="preserve">Boîte</t>
  </si>
  <si>
    <t xml:space="preserve">STATUT</t>
  </si>
  <si>
    <t xml:space="preserve">Puissance fisc.</t>
  </si>
  <si>
    <t xml:space="preserve">Date MEC</t>
  </si>
  <si>
    <t xml:space="preserve">Couleur</t>
  </si>
  <si>
    <t xml:space="preserve">Date Achat</t>
  </si>
  <si>
    <t xml:space="preserve">Nb Clés</t>
  </si>
  <si>
    <t xml:space="preserve">Nb Propriétaires</t>
  </si>
  <si>
    <t xml:space="preserve">Historique Entretien</t>
  </si>
  <si>
    <t xml:space="preserve">Crit'Air</t>
  </si>
  <si>
    <t xml:space="preserve">CT Validité</t>
  </si>
  <si>
    <t xml:space="preserve">Garantie (mois)</t>
  </si>
  <si>
    <t xml:space="preserve">Provenance</t>
  </si>
  <si>
    <t xml:space="preserve">Fournisseur</t>
  </si>
  <si>
    <t xml:space="preserve">Prix Achat</t>
  </si>
  <si>
    <t xml:space="preserve">Frais Transport</t>
  </si>
  <si>
    <t xml:space="preserve">Réparations</t>
  </si>
  <si>
    <t xml:space="preserve">Nettoyage</t>
  </si>
  <si>
    <t xml:space="preserve">Carte Grise</t>
  </si>
  <si>
    <t xml:space="preserve">Préparation</t>
  </si>
  <si>
    <t xml:space="preserve">Divers</t>
  </si>
  <si>
    <t xml:space="preserve">Coût de Revient</t>
  </si>
  <si>
    <t xml:space="preserve">Prix Conseillé</t>
  </si>
  <si>
    <t xml:space="preserve">Prix Affiché</t>
  </si>
  <si>
    <t xml:space="preserve">Prix Mini Acceptable</t>
  </si>
  <si>
    <t xml:space="preserve">Marge Brute €</t>
  </si>
  <si>
    <t xml:space="preserve">Marge Brute %</t>
  </si>
  <si>
    <t xml:space="preserve">Marge Nette €</t>
  </si>
  <si>
    <t xml:space="preserve">TVA/Marge</t>
  </si>
  <si>
    <t xml:space="preserve">ROI %</t>
  </si>
  <si>
    <t xml:space="preserve">Date Vente</t>
  </si>
  <si>
    <t xml:space="preserve">Prix Vente</t>
  </si>
  <si>
    <t xml:space="preserve">Client</t>
  </si>
  <si>
    <t xml:space="preserve">Jours en Stock</t>
  </si>
  <si>
    <t xml:space="preserve">Notes</t>
  </si>
  <si>
    <t xml:space="preserve">ID Client</t>
  </si>
  <si>
    <t xml:space="preserve">Nom Prénom</t>
  </si>
  <si>
    <t xml:space="preserve">Téléphone</t>
  </si>
  <si>
    <t xml:space="preserve">Email</t>
  </si>
  <si>
    <t xml:space="preserve">Ville</t>
  </si>
  <si>
    <t xml:space="preserve">Source</t>
  </si>
  <si>
    <t xml:space="preserve">Véhicule Recherché</t>
  </si>
  <si>
    <t xml:space="preserve">STATUT PIPELINE</t>
  </si>
  <si>
    <t xml:space="preserve">Score</t>
  </si>
  <si>
    <t xml:space="preserve">Budget Max</t>
  </si>
  <si>
    <t xml:space="preserve">Date Entrée</t>
  </si>
  <si>
    <t xml:space="preserve">Dernier Contact</t>
  </si>
  <si>
    <t xml:space="preserve">Prochain RDV</t>
  </si>
  <si>
    <t xml:space="preserve">Nb Contacts</t>
  </si>
  <si>
    <t xml:space="preserve">Véhicule Attribué</t>
  </si>
  <si>
    <t xml:space="preserve">Vendeur</t>
  </si>
  <si>
    <t xml:space="preserve">Notes / Historique</t>
  </si>
  <si>
    <t xml:space="preserve">Relance Auto</t>
  </si>
  <si>
    <t xml:space="preserve">Priorité</t>
  </si>
  <si>
    <t xml:space="preserve">N° Commande</t>
  </si>
  <si>
    <t xml:space="preserve">N° Facture</t>
  </si>
  <si>
    <t xml:space="preserve">ID Dossier VO</t>
  </si>
  <si>
    <t xml:space="preserve">Date Livraison</t>
  </si>
  <si>
    <t xml:space="preserve">Véhicule</t>
  </si>
  <si>
    <t xml:space="preserve">Prix Vente TTC</t>
  </si>
  <si>
    <t xml:space="preserve">Prix Vente HT</t>
  </si>
  <si>
    <t xml:space="preserve">Coût Revient</t>
  </si>
  <si>
    <t xml:space="preserve">TVA Marge</t>
  </si>
  <si>
    <t xml:space="preserve">Marge %</t>
  </si>
  <si>
    <t xml:space="preserve">Mode Paiement</t>
  </si>
  <si>
    <t xml:space="preserve">Reprise</t>
  </si>
  <si>
    <t xml:space="preserve">Valeur Reprise</t>
  </si>
  <si>
    <t xml:space="preserve">Financement</t>
  </si>
  <si>
    <t xml:space="preserve">Garantie Vendue</t>
  </si>
  <si>
    <t xml:space="preserve">Prix Garantie</t>
  </si>
  <si>
    <t xml:space="preserve">Statut</t>
  </si>
  <si>
    <t xml:space="preserve">Marque / Modèle</t>
  </si>
  <si>
    <t xml:space="preserve">Décl. Achat envoyée</t>
  </si>
  <si>
    <t xml:space="preserve">Date Décl. Achat</t>
  </si>
  <si>
    <t xml:space="preserve">CERFA Achat N°</t>
  </si>
  <si>
    <t xml:space="preserve">Décl. Cession envoyée</t>
  </si>
  <si>
    <t xml:space="preserve">CT Date Validité</t>
  </si>
  <si>
    <t xml:space="preserve">CT Résultat</t>
  </si>
  <si>
    <t xml:space="preserve">CT Avis</t>
  </si>
  <si>
    <t xml:space="preserve">CG Reçue</t>
  </si>
  <si>
    <t xml:space="preserve">CG Type</t>
  </si>
  <si>
    <t xml:space="preserve">CG Transmise Client</t>
  </si>
  <si>
    <t xml:space="preserve">Date Transmission CG</t>
  </si>
  <si>
    <t xml:space="preserve">STATUT DOSSIER</t>
  </si>
  <si>
    <t xml:space="preserve">Documents Manquants</t>
  </si>
  <si>
    <t xml:space="preserve">Garantie Fin</t>
  </si>
  <si>
    <t xml:space="preserve">Notes Admin</t>
  </si>
  <si>
    <t xml:space="preserve">💰  SUIVI FINANCIER — Dépenses &amp; Rentabilité</t>
  </si>
  <si>
    <t xml:space="preserve">📊 RÉCAPITULATIF MENSUEL</t>
  </si>
  <si>
    <t xml:space="preserve">Date</t>
  </si>
  <si>
    <t xml:space="preserve">Catégorie</t>
  </si>
  <si>
    <t xml:space="preserve">Sous-catégorie</t>
  </si>
  <si>
    <t xml:space="preserve">Description</t>
  </si>
  <si>
    <t xml:space="preserve">Montant HT</t>
  </si>
  <si>
    <t xml:space="preserve">TVA</t>
  </si>
  <si>
    <t xml:space="preserve">Montant TTC</t>
  </si>
  <si>
    <t xml:space="preserve">Référence</t>
  </si>
  <si>
    <t xml:space="preserve">Mois</t>
  </si>
  <si>
    <t xml:space="preserve">CA Mensuel</t>
  </si>
  <si>
    <t xml:space="preserve">Achats Véhicules</t>
  </si>
  <si>
    <t xml:space="preserve">Publicité</t>
  </si>
  <si>
    <t xml:space="preserve">Frais Fixes</t>
  </si>
  <si>
    <t xml:space="preserve">Salaires</t>
  </si>
  <si>
    <t xml:space="preserve">Transport</t>
  </si>
  <si>
    <t xml:space="preserve">Autres</t>
  </si>
  <si>
    <t xml:space="preserve">TOTAL DÉPENSES</t>
  </si>
  <si>
    <t xml:space="preserve">BÉNÉFICE NET</t>
  </si>
  <si>
    <t xml:space="preserve">NOM DU GARAGE</t>
  </si>
  <si>
    <t xml:space="preserve">BON DE COMMANDE
N° BC-XXXX</t>
  </si>
  <si>
    <t xml:space="preserve">Adresse — Ville  |  Tél : XX XX XX XX XX  |  SIRET : XXX</t>
  </si>
  <si>
    <t xml:space="preserve">BON DE COMMANDE VÉHICULE D'OCCASION</t>
  </si>
  <si>
    <t xml:space="preserve">👤 ACHETEUR</t>
  </si>
  <si>
    <t xml:space="preserve">🚗 VÉHICULE</t>
  </si>
  <si>
    <t xml:space="preserve">Nom / Prénom :</t>
  </si>
  <si>
    <t xml:space="preserve">Marque / Modèle :</t>
  </si>
  <si>
    <t xml:space="preserve">Adresse :</t>
  </si>
  <si>
    <t xml:space="preserve">Immatriculation :</t>
  </si>
  <si>
    <t xml:space="preserve">Téléphone :</t>
  </si>
  <si>
    <t xml:space="preserve">VIN :</t>
  </si>
  <si>
    <t xml:space="preserve">Année / Km :</t>
  </si>
  <si>
    <t xml:space="preserve">Version :</t>
  </si>
  <si>
    <t xml:space="preserve">💰 CONDITIONS FINANCIÈRES</t>
  </si>
  <si>
    <t xml:space="preserve">Prix de vente TTC</t>
  </si>
  <si>
    <t xml:space="preserve">Dont TVA sur marge</t>
  </si>
  <si>
    <t xml:space="preserve">Acompte versé</t>
  </si>
  <si>
    <t xml:space="preserve">SOLDE À RÉGLER</t>
  </si>
  <si>
    <t xml:space="preserve">Le présent bon de commande est établi conformément aux dispositions légales. TVA calculée sur la marge, art. 297A du CGI. Garantie légale de conformité et vices cachés applicable.</t>
  </si>
  <si>
    <t xml:space="preserve">Signature Vendeur :
_______________________</t>
  </si>
  <si>
    <t xml:space="preserve">Signature Acheteur (Lu et approuvé) :
_______________________</t>
  </si>
  <si>
    <t xml:space="preserve">⚙️  PARAMÈTRES SpiderVO Pro</t>
  </si>
  <si>
    <t xml:space="preserve">IDENTITÉ GARAGE</t>
  </si>
  <si>
    <t xml:space="preserve">Nom du garage</t>
  </si>
  <si>
    <t xml:space="preserve">Mon Garage VO</t>
  </si>
  <si>
    <t xml:space="preserve">SIRET</t>
  </si>
  <si>
    <t xml:space="preserve">TVA intracommunautaire</t>
  </si>
  <si>
    <t xml:space="preserve">Adresse</t>
  </si>
  <si>
    <t xml:space="preserve">Code Postal</t>
  </si>
  <si>
    <t xml:space="preserve">Site web</t>
  </si>
  <si>
    <t xml:space="preserve">ÉQUIPE COMMERCIALE</t>
  </si>
  <si>
    <t xml:space="preserve">Vendeur 1</t>
  </si>
  <si>
    <t xml:space="preserve">Vendeur 2</t>
  </si>
  <si>
    <t xml:space="preserve">Vendeur 3</t>
  </si>
  <si>
    <t xml:space="preserve">PARAMÈTRES SYSTÈME</t>
  </si>
  <si>
    <t xml:space="preserve">Marge minimum (%)</t>
  </si>
  <si>
    <t xml:space="preserve">8</t>
  </si>
  <si>
    <t xml:space="preserve">Seuil véhicule dormant (j)</t>
  </si>
  <si>
    <t xml:space="preserve">45</t>
  </si>
  <si>
    <t xml:space="preserve">Email notifications</t>
  </si>
  <si>
    <t xml:space="preserve">Objectif CA mensuel (€)</t>
  </si>
  <si>
    <t xml:space="preserve">Devise</t>
  </si>
  <si>
    <t xml:space="preserve">EUR</t>
  </si>
  <si>
    <t xml:space="preserve">📖  GUIDE D'UTILISATION — SpiderVO Pro</t>
  </si>
  <si>
    <t xml:space="preserve">ONGLETS DU SYSTÈME</t>
  </si>
  <si>
    <t xml:space="preserve">DASHBOARD</t>
  </si>
  <si>
    <t xml:space="preserve">Vue d'ensemble : KPIs stock, ventes du mois, alertes. Se met à jour automatiquement.</t>
  </si>
  <si>
    <t xml:space="preserve">STOCK VO</t>
  </si>
  <si>
    <t xml:space="preserve">Saisir chaque véhicule acheté. Les colonnes AF→AN (coût revient, marges, ROI) se calculent seules.</t>
  </si>
  <si>
    <t xml:space="preserve">CRM CLIENTS</t>
  </si>
  <si>
    <t xml:space="preserve">Suivi leads et clients. Pipeline de vente, score chaud/froid, relances. Mettre à jour 'Dernier Contact'.</t>
  </si>
  <si>
    <t xml:space="preserve">VENTES</t>
  </si>
  <si>
    <t xml:space="preserve">Enregistrer chaque vente. TVA marge calculée auto. Lier à l'ID Dossier VO correspondant.</t>
  </si>
  <si>
    <t xml:space="preserve">ADMINISTRATIF</t>
  </si>
  <si>
    <t xml:space="preserve">Suivi CERFA, carte grise, CT, garanties. Statut dossier = ✅ COMPLET / ⚠️ INCOMPLET / ❌ BLOQUANT.</t>
  </si>
  <si>
    <t xml:space="preserve">FINANCE</t>
  </si>
  <si>
    <t xml:space="preserve">Toutes les dépenses du garage. Le récapitulatif mensuel (colonnes N-O) se calcule automatiquement.</t>
  </si>
  <si>
    <t xml:space="preserve">BON DE COMMANDE</t>
  </si>
  <si>
    <t xml:space="preserve">Template à remplir et imprimer (Ctrl+P) ou exporter en PDF (Fichier &gt; Exporter).</t>
  </si>
  <si>
    <t xml:space="preserve">PARAMÈTRES</t>
  </si>
  <si>
    <t xml:space="preserve">Saisir les infos du garage UNE SEULE FOIS. Ces données alimentent les documents.</t>
  </si>
  <si>
    <t xml:space="preserve">FORMULES CLÉS</t>
  </si>
  <si>
    <t xml:space="preserve"> =prix achat + transport + réparations + nettoyage + carte grise + préparation + divers</t>
  </si>
  <si>
    <t xml:space="preserve">Marge Brute</t>
  </si>
  <si>
    <t xml:space="preserve"> =prix affiché - coût de revient</t>
  </si>
  <si>
    <t xml:space="preserve">TVA sur Marge</t>
  </si>
  <si>
    <t xml:space="preserve"> =(prix vente ttc - prix achat ttc) / 1.2 × 0.20  [Régime de la marge]</t>
  </si>
  <si>
    <t xml:space="preserve">Marge Nette</t>
  </si>
  <si>
    <t xml:space="preserve"> =marge brute - tva sur marge</t>
  </si>
  <si>
    <t xml:space="preserve">ROI</t>
  </si>
  <si>
    <t xml:space="preserve"> =marge nette / coût de revient</t>
  </si>
  <si>
    <t xml:space="preserve">CONSEILS PRO</t>
  </si>
  <si>
    <t xml:space="preserve">Alerte dormants</t>
  </si>
  <si>
    <t xml:space="preserve">Tout véhicule en stock &gt;45 jours est signalé en jaune (colonne AR). Baisser le prix ou changer la diffusion.</t>
  </si>
  <si>
    <t xml:space="preserve">Score CRM</t>
  </si>
  <si>
    <t xml:space="preserve">Mettre à jour le score (🔥 Chaud) après chaque contact. Prioriser les relances chauds.</t>
  </si>
  <si>
    <t xml:space="preserve">CERFA</t>
  </si>
  <si>
    <t xml:space="preserve">Renseigner ADMINISTRATIF dès l'achat. Compléter la déclaration de cession dans les 15 jours de la vente.</t>
  </si>
  <si>
    <t xml:space="preserve">Sauvegarde</t>
  </si>
  <si>
    <t xml:space="preserve">Dupliquer le fichier chaque semaine (Fichier &gt; Créer une copie) dans un dossier Drive dédié.</t>
  </si>
  <si>
    <t xml:space="preserve">Sécurité</t>
  </si>
  <si>
    <t xml:space="preserve">Protéger les colonnes de formules (AF:AN dans STOCK VO) via Format &gt; Protéger la plage.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</si>
</sst>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&quot; €&quot;"/>
    <numFmt numFmtId="167" formatCode="0.0%"/>
    <numFmt numFmtId="168" formatCode="#,##0.00&quot; €&quot;"/>
    <numFmt numFmtId="169" formatCode="#,##0&quot; j&quot;"/>
    <numFmt numFmtId="170" formatCode="dd/mm/yyyy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0"/>
      <color rgb="FF94A3B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6B7280"/>
      <name val="Arial"/>
      <family val="0"/>
      <charset val="1"/>
    </font>
    <font>
      <b val="true"/>
      <sz val="18"/>
      <color rgb="FF4895EF"/>
      <name val="Arial"/>
      <family val="0"/>
      <charset val="1"/>
    </font>
    <font>
      <b val="true"/>
      <sz val="18"/>
      <color rgb="FF2DC653"/>
      <name val="Arial"/>
      <family val="0"/>
      <charset val="1"/>
    </font>
    <font>
      <b val="true"/>
      <sz val="18"/>
      <color rgb="FFF4A261"/>
      <name val="Arial"/>
      <family val="0"/>
      <charset val="1"/>
    </font>
    <font>
      <b val="true"/>
      <sz val="18"/>
      <color rgb="FFF4D03F"/>
      <name val="Arial"/>
      <family val="0"/>
      <charset val="1"/>
    </font>
    <font>
      <b val="true"/>
      <sz val="18"/>
      <color rgb="FFFFB703"/>
      <name val="Arial"/>
      <family val="0"/>
      <charset val="1"/>
    </font>
    <font>
      <b val="true"/>
      <sz val="18"/>
      <color rgb="FF6B7280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18"/>
      <color rgb="FFE63946"/>
      <name val="Arial"/>
      <family val="0"/>
      <charset val="1"/>
    </font>
    <font>
      <b val="true"/>
      <sz val="8"/>
      <color rgb="FF47556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475569"/>
      <name val="Arial"/>
      <family val="0"/>
      <charset val="1"/>
    </font>
    <font>
      <sz val="9"/>
      <color rgb="FF0A0F1E"/>
      <name val="Arial"/>
      <family val="0"/>
      <charset val="1"/>
    </font>
    <font>
      <b val="true"/>
      <sz val="16"/>
      <color rgb="FFF4D03F"/>
      <name val="Arial"/>
      <family val="0"/>
      <charset val="1"/>
    </font>
    <font>
      <b val="true"/>
      <sz val="12"/>
      <color rgb="FFF4D03F"/>
      <name val="Arial"/>
      <family val="0"/>
      <charset val="1"/>
    </font>
    <font>
      <sz val="10"/>
      <color rgb="FF0A0F1E"/>
      <name val="Arial"/>
      <family val="0"/>
      <charset val="1"/>
    </font>
    <font>
      <sz val="11"/>
      <color rgb="FF2DC653"/>
      <name val="Arial"/>
      <family val="0"/>
      <charset val="1"/>
    </font>
    <font>
      <sz val="11"/>
      <color rgb="FFE63946"/>
      <name val="Arial"/>
      <family val="0"/>
      <charset val="1"/>
    </font>
    <font>
      <sz val="11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F87171"/>
      <name val="Arial"/>
      <family val="0"/>
      <charset val="1"/>
    </font>
    <font>
      <b val="true"/>
      <sz val="13"/>
      <color rgb="FF4ADE8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0A0F1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A0F1E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9"/>
      <color rgb="FF92400E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7"/>
      <color rgb="FFFFFFFF"/>
      <name val="Arial"/>
      <family val="0"/>
      <charset val="1"/>
    </font>
    <font>
      <b val="true"/>
      <sz val="10"/>
      <color rgb="FF0A0F1E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0A0F1E"/>
        <bgColor rgb="FF000000"/>
      </patternFill>
    </fill>
    <fill>
      <patternFill patternType="solid">
        <fgColor rgb="FF1A2744"/>
        <bgColor rgb="FF1F2937"/>
      </patternFill>
    </fill>
    <fill>
      <patternFill patternType="solid">
        <fgColor rgb="FF4895EF"/>
        <bgColor rgb="FF94A3B8"/>
      </patternFill>
    </fill>
    <fill>
      <patternFill patternType="solid">
        <fgColor rgb="FF2DC653"/>
        <bgColor rgb="FF4ADE80"/>
      </patternFill>
    </fill>
    <fill>
      <patternFill patternType="solid">
        <fgColor rgb="FFF4A261"/>
        <bgColor rgb="FFFFB703"/>
      </patternFill>
    </fill>
    <fill>
      <patternFill patternType="solid">
        <fgColor rgb="FFF4D03F"/>
        <bgColor rgb="FFFFB703"/>
      </patternFill>
    </fill>
    <fill>
      <patternFill patternType="solid">
        <fgColor rgb="FFFFB703"/>
        <bgColor rgb="FFF4D03F"/>
      </patternFill>
    </fill>
    <fill>
      <patternFill patternType="solid">
        <fgColor rgb="FF6B7280"/>
        <bgColor rgb="FF475569"/>
      </patternFill>
    </fill>
    <fill>
      <patternFill patternType="solid">
        <fgColor rgb="FFF1F5FF"/>
        <bgColor rgb="FFEFF6FF"/>
      </patternFill>
    </fill>
    <fill>
      <patternFill patternType="solid">
        <fgColor rgb="FFFFFFFF"/>
        <bgColor rgb="FFF8FAFF"/>
      </patternFill>
    </fill>
    <fill>
      <patternFill patternType="solid">
        <fgColor rgb="FFE63946"/>
        <bgColor rgb="FFC2410C"/>
      </patternFill>
    </fill>
    <fill>
      <patternFill patternType="solid">
        <fgColor rgb="FF1A3A2A"/>
        <bgColor rgb="FF1F2937"/>
      </patternFill>
    </fill>
    <fill>
      <patternFill patternType="solid">
        <fgColor rgb="FF2D1A3A"/>
        <bgColor rgb="FF3A1A1A"/>
      </patternFill>
    </fill>
    <fill>
      <patternFill patternType="solid">
        <fgColor rgb="FF3A1A1A"/>
        <bgColor rgb="FF2D1A3A"/>
      </patternFill>
    </fill>
    <fill>
      <patternFill patternType="solid">
        <fgColor rgb="FF2A2A2A"/>
        <bgColor rgb="FF1F2937"/>
      </patternFill>
    </fill>
    <fill>
      <patternFill patternType="solid">
        <fgColor rgb="FFF8FAFF"/>
        <bgColor rgb="FFFFFFFF"/>
      </patternFill>
    </fill>
    <fill>
      <patternFill patternType="solid">
        <fgColor rgb="FF92400E"/>
        <bgColor rgb="FF78350F"/>
      </patternFill>
    </fill>
    <fill>
      <patternFill patternType="solid">
        <fgColor rgb="FF78350F"/>
        <bgColor rgb="FF92400E"/>
      </patternFill>
    </fill>
    <fill>
      <patternFill patternType="solid">
        <fgColor rgb="FF1F2937"/>
        <bgColor rgb="FF1A2744"/>
      </patternFill>
    </fill>
    <fill>
      <patternFill patternType="solid">
        <fgColor rgb="FF14532D"/>
        <bgColor rgb="FF166534"/>
      </patternFill>
    </fill>
    <fill>
      <patternFill patternType="solid">
        <fgColor rgb="FFFFFBEB"/>
        <bgColor rgb="FFFFF7ED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1A2744"/>
      </left>
      <right/>
      <top style="thin">
        <color rgb="FF1A2744"/>
      </top>
      <bottom style="thin">
        <color rgb="FF1A2744"/>
      </bottom>
      <diagonal/>
    </border>
    <border diagonalUp="false" diagonalDown="false">
      <left style="thin">
        <color rgb="FF4895EF"/>
      </left>
      <right style="thin">
        <color rgb="FF4895EF"/>
      </right>
      <top style="thin">
        <color rgb="FF4895EF"/>
      </top>
      <bottom style="thin">
        <color rgb="FF4895EF"/>
      </bottom>
      <diagonal/>
    </border>
    <border diagonalUp="false" diagonalDown="false">
      <left style="thin">
        <color rgb="FF2DC653"/>
      </left>
      <right style="thin">
        <color rgb="FF2DC653"/>
      </right>
      <top style="thin">
        <color rgb="FF2DC653"/>
      </top>
      <bottom style="thin">
        <color rgb="FF2DC653"/>
      </bottom>
      <diagonal/>
    </border>
    <border diagonalUp="false" diagonalDown="false">
      <left style="thin">
        <color rgb="FFF4A261"/>
      </left>
      <right style="thin">
        <color rgb="FFF4A261"/>
      </right>
      <top style="thin">
        <color rgb="FFF4A261"/>
      </top>
      <bottom style="thin">
        <color rgb="FFF4A261"/>
      </bottom>
      <diagonal/>
    </border>
    <border diagonalUp="false" diagonalDown="false">
      <left style="thin">
        <color rgb="FFF4D03F"/>
      </left>
      <right style="thin">
        <color rgb="FFF4D03F"/>
      </right>
      <top style="thin">
        <color rgb="FFF4D03F"/>
      </top>
      <bottom style="thin">
        <color rgb="FFF4D03F"/>
      </bottom>
      <diagonal/>
    </border>
    <border diagonalUp="false" diagonalDown="false">
      <left style="thin">
        <color rgb="FFFFB703"/>
      </left>
      <right style="thin">
        <color rgb="FFFFB703"/>
      </right>
      <top style="thin">
        <color rgb="FFFFB703"/>
      </top>
      <bottom style="thin">
        <color rgb="FFFFB703"/>
      </bottom>
      <diagonal/>
    </border>
    <border diagonalUp="false" diagonalDown="false">
      <left style="thin">
        <color rgb="FF6B7280"/>
      </left>
      <right style="thin">
        <color rgb="FF6B7280"/>
      </right>
      <top style="thin">
        <color rgb="FF6B7280"/>
      </top>
      <bottom style="thin">
        <color rgb="FF6B7280"/>
      </bottom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 style="thin">
        <color rgb="FFE63946"/>
      </left>
      <right style="thin">
        <color rgb="FFE63946"/>
      </right>
      <top style="thin">
        <color rgb="FFE63946"/>
      </top>
      <bottom style="thin">
        <color rgb="FFE63946"/>
      </bottom>
      <diagonal/>
    </border>
    <border diagonalUp="false" diagonalDown="false">
      <left style="thin">
        <color rgb="FF1A2744"/>
      </left>
      <right style="thin">
        <color rgb="FF1A2744"/>
      </right>
      <top style="thin">
        <color rgb="FF1A2744"/>
      </top>
      <bottom style="thin">
        <color rgb="FF1A2744"/>
      </bottom>
      <diagonal/>
    </border>
    <border diagonalUp="false" diagonalDown="false">
      <left/>
      <right/>
      <top/>
      <bottom style="thin">
        <color rgb="FFE5E7EB"/>
      </bottom>
      <diagonal/>
    </border>
    <border diagonalUp="false" diagonalDown="false">
      <left/>
      <right/>
      <top/>
      <bottom style="thin">
        <color rgb="FF94A3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1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1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1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1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1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1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5" fillId="11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11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1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7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9" fillId="17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9" fillId="17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9" fillId="17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9" fillId="17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1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9" fillId="11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9" fillId="11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9" fillId="11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9" fillId="11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8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9" fillId="17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9" fillId="11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9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3" fillId="5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1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4" fillId="1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5" fillId="1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2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7" fillId="2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21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8" fillId="21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2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32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3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4" fillId="2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1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1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1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ont>
        <b val="1"/>
        <color rgb="FF065F46"/>
        <sz val="9"/>
      </font>
      <fill>
        <patternFill>
          <bgColor rgb="FFD1FAE5"/>
        </patternFill>
      </fill>
    </dxf>
    <dxf>
      <font>
        <b val="1"/>
        <color rgb="FFC2410C"/>
        <sz val="9"/>
      </font>
      <fill>
        <patternFill>
          <bgColor rgb="FFFFF7ED"/>
        </patternFill>
      </fill>
    </dxf>
    <dxf>
      <font>
        <b val="1"/>
        <color rgb="FF1D4ED8"/>
        <sz val="9"/>
      </font>
      <fill>
        <patternFill>
          <bgColor rgb="FFEFF6FF"/>
        </patternFill>
      </fill>
    </dxf>
    <dxf>
      <font>
        <b val="1"/>
        <color rgb="FF92400E"/>
        <sz val="9"/>
      </font>
      <fill>
        <patternFill>
          <bgColor rgb="FFFFFBEB"/>
        </patternFill>
      </fill>
    </dxf>
    <dxf>
      <font>
        <b val="1"/>
        <color rgb="FF991B1B"/>
        <sz val="9"/>
      </font>
      <fill>
        <patternFill>
          <bgColor rgb="FFFEF2F2"/>
        </patternFill>
      </fill>
    </dxf>
    <dxf>
      <font>
        <b val="1"/>
        <color rgb="FF6D28D9"/>
        <sz val="9"/>
      </font>
      <fill>
        <patternFill>
          <bgColor rgb="FFF5F3FF"/>
        </patternFill>
      </fill>
    </dxf>
    <dxf>
      <font>
        <b val="1"/>
        <color rgb="FF374151"/>
        <sz val="9"/>
      </font>
      <fill>
        <patternFill>
          <bgColor rgb="FFF3F4F6"/>
        </patternFill>
      </fill>
    </dxf>
    <dxf>
      <font>
        <color rgb="FFE63946"/>
        <sz val="9"/>
      </font>
      <fill>
        <patternFill>
          <bgColor rgb="FFFEE2E2"/>
        </patternFill>
      </fill>
    </dxf>
    <dxf>
      <font>
        <b val="1"/>
        <color rgb="FF92400E"/>
        <sz val="9"/>
      </font>
      <fill>
        <patternFill>
          <bgColor rgb="FFFEF9C3"/>
        </patternFill>
      </fill>
    </dxf>
    <dxf>
      <font>
        <color rgb="FF991B1B"/>
        <sz val="9"/>
      </font>
      <fill>
        <patternFill>
          <bgColor rgb="FFFEF2F2"/>
        </patternFill>
      </fill>
    </dxf>
    <dxf>
      <font>
        <b val="1"/>
        <color rgb="FF15803D"/>
        <sz val="9"/>
      </font>
      <fill>
        <patternFill>
          <bgColor rgb="FFF0FDF4"/>
        </patternFill>
      </fill>
    </dxf>
    <dxf>
      <font>
        <b val="1"/>
        <color rgb="FFB45309"/>
        <sz val="9"/>
      </font>
      <fill>
        <patternFill>
          <bgColor rgb="FFFFF7ED"/>
        </patternFill>
      </fill>
    </dxf>
    <dxf>
      <font>
        <b val="1"/>
        <color rgb="FF166534"/>
        <sz val="9"/>
      </font>
      <fill>
        <patternFill>
          <bgColor rgb="FFF0FDF4"/>
        </patternFill>
      </fill>
    </dxf>
  </dxfs>
  <colors>
    <indexedColors>
      <rgbColor rgb="FF000000"/>
      <rgbColor rgb="FFFFFFFF"/>
      <rgbColor rgb="FFE63946"/>
      <rgbColor rgb="FF00FF00"/>
      <rgbColor rgb="FF0000FF"/>
      <rgbColor rgb="FFF4D03F"/>
      <rgbColor rgb="FFFF00FF"/>
      <rgbColor rgb="FF00FFFF"/>
      <rgbColor rgb="FF991B1B"/>
      <rgbColor rgb="FF15803D"/>
      <rgbColor rgb="FF0A0F1E"/>
      <rgbColor rgb="FF14532D"/>
      <rgbColor rgb="FF6D28D9"/>
      <rgbColor rgb="FF065F46"/>
      <rgbColor rgb="FFF3F4F6"/>
      <rgbColor rgb="FF475569"/>
      <rgbColor rgb="FFF8FAFF"/>
      <rgbColor rgb="FF78350F"/>
      <rgbColor rgb="FFFEF9C3"/>
      <rgbColor rgb="FFF0FDF4"/>
      <rgbColor rgb="FF3A1A1A"/>
      <rgbColor rgb="FFF87171"/>
      <rgbColor rgb="FF1D4ED8"/>
      <rgbColor rgb="FFE5E7EB"/>
      <rgbColor rgb="FF2D1A3A"/>
      <rgbColor rgb="FFFF00FF"/>
      <rgbColor rgb="FFFFF7ED"/>
      <rgbColor rgb="FF00FFFF"/>
      <rgbColor rgb="FF800080"/>
      <rgbColor rgb="FF800000"/>
      <rgbColor rgb="FF166534"/>
      <rgbColor rgb="FF0000FF"/>
      <rgbColor rgb="FF00CCFF"/>
      <rgbColor rgb="FFEFF6FF"/>
      <rgbColor rgb="FFD1FAE5"/>
      <rgbColor rgb="FFFFFBEB"/>
      <rgbColor rgb="FFF1F5FF"/>
      <rgbColor rgb="FFFEF2F2"/>
      <rgbColor rgb="FFF5F3FF"/>
      <rgbColor rgb="FFFEE2E2"/>
      <rgbColor rgb="FF4895EF"/>
      <rgbColor rgb="FF4ADE80"/>
      <rgbColor rgb="FF99CC00"/>
      <rgbColor rgb="FFFFB703"/>
      <rgbColor rgb="FFF4A261"/>
      <rgbColor rgb="FFB45309"/>
      <rgbColor rgb="FF6B7280"/>
      <rgbColor rgb="FF94A3B8"/>
      <rgbColor rgb="FF1A2744"/>
      <rgbColor rgb="FF2DC653"/>
      <rgbColor rgb="FF1F2937"/>
      <rgbColor rgb="FF1A3A2A"/>
      <rgbColor rgb="FF92400E"/>
      <rgbColor rgb="FFC2410C"/>
      <rgbColor rgb="FF374151"/>
      <rgbColor rgb="FF2A2A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3946"/>
    <pageSetUpPr fitToPage="false"/>
  </sheetPr>
  <dimension ref="B1:I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3" min="2" style="1" width="18"/>
    <col collapsed="false" customWidth="true" hidden="false" outlineLevel="0" max="4" min="4" style="1" width="4"/>
    <col collapsed="false" customWidth="true" hidden="false" outlineLevel="0" max="6" min="5" style="1" width="18"/>
    <col collapsed="false" customWidth="true" hidden="false" outlineLevel="0" max="7" min="7" style="1" width="4"/>
    <col collapsed="false" customWidth="true" hidden="false" outlineLevel="0" max="9" min="8" style="1" width="18"/>
    <col collapsed="false" customWidth="true" hidden="false" outlineLevel="0" max="10" min="10" style="1" width="2"/>
  </cols>
  <sheetData>
    <row r="1" customFormat="false" ht="9.75" hidden="false" customHeight="true" outlineLevel="0" collapsed="false"/>
    <row r="2" customFormat="false" ht="64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</row>
    <row r="3" customFormat="false" ht="27.75" hidden="false" customHeight="true" outlineLevel="0" collapsed="false">
      <c r="B3" s="3" t="s">
        <v>1</v>
      </c>
      <c r="C3" s="3"/>
      <c r="D3" s="3"/>
      <c r="E3" s="3"/>
      <c r="F3" s="3"/>
      <c r="G3" s="3"/>
      <c r="H3" s="3"/>
      <c r="I3" s="3"/>
    </row>
    <row r="4" customFormat="false" ht="9.75" hidden="false" customHeight="true" outlineLevel="0" collapsed="false"/>
    <row r="5" customFormat="false" ht="7.5" hidden="false" customHeight="true" outlineLevel="0" collapsed="false">
      <c r="B5" s="4" t="s">
        <v>2</v>
      </c>
      <c r="C5" s="4"/>
      <c r="D5" s="4"/>
      <c r="E5" s="4"/>
      <c r="F5" s="4"/>
      <c r="G5" s="4"/>
      <c r="H5" s="4"/>
      <c r="I5" s="4"/>
    </row>
    <row r="6" customFormat="false" ht="6" hidden="false" customHeight="true" outlineLevel="0" collapsed="false">
      <c r="B6" s="5"/>
      <c r="C6" s="6"/>
      <c r="E6" s="7"/>
      <c r="F6" s="8"/>
      <c r="H6" s="9"/>
      <c r="I6" s="10"/>
    </row>
    <row r="7" customFormat="false" ht="24" hidden="false" customHeight="true" outlineLevel="0" collapsed="false">
      <c r="B7" s="11" t="s">
        <v>3</v>
      </c>
      <c r="C7" s="11" t="s">
        <v>4</v>
      </c>
      <c r="E7" s="11" t="s">
        <v>5</v>
      </c>
      <c r="F7" s="11" t="s">
        <v>6</v>
      </c>
      <c r="H7" s="11" t="s">
        <v>7</v>
      </c>
      <c r="I7" s="11" t="s">
        <v>8</v>
      </c>
    </row>
    <row r="8" customFormat="false" ht="42" hidden="false" customHeight="true" outlineLevel="0" collapsed="false">
      <c r="B8" s="12" t="n">
        <f aca="false">COUNTIFS('STOCK VO'!L3:L5002,"&lt;&gt;Vendu",'STOCK VO'!L3:L5002,"&lt;&gt;Livré",'STOCK VO'!L3:L5002,"&lt;&gt;")</f>
        <v>0</v>
      </c>
      <c r="C8" s="13" t="n">
        <f aca="false">SUMPRODUCT(('STOCK VO'!L3:L5002&lt;&gt;"Vendu")*('STOCK VO'!L3:L5002&lt;&gt;"Livré")*('STOCK VO'!L3:L5002&lt;&gt;"")*('STOCK VO'!AH3:AH5002))</f>
        <v>0</v>
      </c>
      <c r="E8" s="14" t="n">
        <f aca="false">IFERROR(SUMPRODUCT(('STOCK VO'!L3:L5002&lt;&gt;"Vendu")*('STOCK VO'!L3:L5002&lt;&gt;"Livré")*('STOCK VO'!L3:L5002&lt;&gt;"")*('STOCK VO'!AL3:AL5002)),0)</f>
        <v>0</v>
      </c>
      <c r="F8" s="15" t="n">
        <f aca="false">IFERROR(AVERAGEIF('STOCK VO'!L3:L5002,"Publié",'STOCK VO'!AH3:AH5002),0)</f>
        <v>0</v>
      </c>
      <c r="H8" s="16" t="n">
        <f aca="false">COUNTIFS('STOCK VO'!L3:L5002,"&lt;&gt;Vendu",'STOCK VO'!L3:L5002,"&lt;&gt;Livré",'STOCK VO'!L3:L5002,"&lt;&gt;",'STOCK VO'!AR3:AR5002,"&gt;45")</f>
        <v>0</v>
      </c>
      <c r="I8" s="17" t="n">
        <f aca="false">COUNTIF('STOCK VO'!L3:L5002,"Préparation")</f>
        <v>0</v>
      </c>
    </row>
    <row r="9" customFormat="false" ht="21.75" hidden="false" customHeight="true" outlineLevel="0" collapsed="false">
      <c r="B9" s="18" t="s">
        <v>9</v>
      </c>
      <c r="C9" s="18" t="s">
        <v>9</v>
      </c>
      <c r="E9" s="18" t="s">
        <v>9</v>
      </c>
      <c r="F9" s="18" t="s">
        <v>9</v>
      </c>
      <c r="H9" s="18" t="s">
        <v>9</v>
      </c>
      <c r="I9" s="18" t="s">
        <v>9</v>
      </c>
    </row>
    <row r="10" customFormat="false" ht="21.75" hidden="false" customHeight="true" outlineLevel="0" collapsed="false"/>
    <row r="11" customFormat="false" ht="7.5" hidden="false" customHeight="true" outlineLevel="0" collapsed="false">
      <c r="B11" s="4" t="s">
        <v>10</v>
      </c>
      <c r="C11" s="4"/>
      <c r="D11" s="4"/>
      <c r="E11" s="4"/>
      <c r="F11" s="4"/>
      <c r="G11" s="4"/>
      <c r="H11" s="4"/>
      <c r="I11" s="4"/>
    </row>
    <row r="12" customFormat="false" ht="6" hidden="false" customHeight="true" outlineLevel="0" collapsed="false">
      <c r="B12" s="19"/>
      <c r="C12" s="6"/>
      <c r="E12" s="8"/>
      <c r="F12" s="5"/>
      <c r="H12" s="7"/>
      <c r="I12" s="19"/>
    </row>
    <row r="13" customFormat="false" ht="24" hidden="false" customHeight="true" outlineLevel="0" collapsed="false">
      <c r="B13" s="11" t="s">
        <v>11</v>
      </c>
      <c r="C13" s="11" t="s">
        <v>12</v>
      </c>
      <c r="E13" s="11" t="s">
        <v>13</v>
      </c>
      <c r="F13" s="11" t="s">
        <v>14</v>
      </c>
      <c r="H13" s="11" t="s">
        <v>15</v>
      </c>
      <c r="I13" s="11" t="s">
        <v>16</v>
      </c>
    </row>
    <row r="14" customFormat="false" ht="42" hidden="false" customHeight="true" outlineLevel="0" collapsed="false">
      <c r="B14" s="20" t="n">
        <f aca="true">COUNTIFS(VENTES!E2:E5001,"&gt;="&amp;DATE(YEAR(TODAY()),MONTH(TODAY()),1),VENTES!E2:E5001,"&lt;="&amp;EOMONTH(TODAY(),0))</f>
        <v>0</v>
      </c>
      <c r="C14" s="13" t="n">
        <f aca="true">SUMPRODUCT((VENTES!E2:E5001&gt;=DATE(YEAR(TODAY()),MONTH(TODAY()),1))*(VENTES!E2:E5001&lt;=EOMONTH(TODAY(),0))*(VENTES!I2:I5001))</f>
        <v>0</v>
      </c>
      <c r="E14" s="15" t="n">
        <f aca="true">IFERROR(SUMPRODUCT((VENTES!E2:E5001&gt;=DATE(YEAR(TODAY()),MONTH(TODAY()),1))*(VENTES!E2:E5001&lt;=EOMONTH(TODAY(),0))*(VENTES!M2:M5001)),0)</f>
        <v>0</v>
      </c>
      <c r="F14" s="21" t="n">
        <f aca="true">IFERROR(SUMPRODUCT((VENTES!E2:E5001&gt;=DATE(YEAR(TODAY()),MONTH(TODAY()),1))*(VENTES!E2:E5001&lt;=EOMONTH(TODAY(),0))*(VENTES!M2:M5001))/SUMPRODUCT((VENTES!E2:E5001&gt;=DATE(YEAR(TODAY()),MONTH(TODAY()),1))*(VENTES!E2:E5001&lt;=EOMONTH(TODAY(),0))*(VENTES!I2:I5001)),0)</f>
        <v>0</v>
      </c>
      <c r="H14" s="22" t="n">
        <f aca="false">COUNTIFS('CRM CLIENTS'!H2:H5001,"&lt;&gt;Vendu",'CRM CLIENTS'!H2:H5001,"&lt;&gt;Perdu",'CRM CLIENTS'!H2:H5001,"&lt;&gt;")</f>
        <v>0</v>
      </c>
      <c r="I14" s="20" t="n">
        <f aca="false">COUNTIF(ADMINISTRATIF!P2:P5001,"⚠️ INCOMPLET")+COUNTIF(ADMINISTRATIF!P2:P5001,"❌ BLOQUANT")</f>
        <v>0</v>
      </c>
    </row>
    <row r="15" customFormat="false" ht="21.75" hidden="false" customHeight="true" outlineLevel="0" collapsed="false">
      <c r="B15" s="18" t="s">
        <v>9</v>
      </c>
      <c r="C15" s="18" t="s">
        <v>9</v>
      </c>
      <c r="E15" s="18" t="s">
        <v>9</v>
      </c>
      <c r="F15" s="18" t="s">
        <v>9</v>
      </c>
      <c r="H15" s="18" t="s">
        <v>9</v>
      </c>
      <c r="I15" s="18" t="s">
        <v>9</v>
      </c>
    </row>
    <row r="16" customFormat="false" ht="21.75" hidden="false" customHeight="true" outlineLevel="0" collapsed="false"/>
    <row r="17" customFormat="false" ht="9.75" hidden="false" customHeight="true" outlineLevel="0" collapsed="false">
      <c r="B17" s="23" t="s">
        <v>17</v>
      </c>
      <c r="C17" s="23"/>
      <c r="D17" s="23"/>
      <c r="E17" s="23"/>
      <c r="F17" s="23"/>
      <c r="G17" s="23"/>
      <c r="H17" s="23"/>
      <c r="I17" s="23"/>
    </row>
    <row r="18" customFormat="false" ht="36" hidden="false" customHeight="true" outlineLevel="0" collapsed="false">
      <c r="B18" s="24" t="s">
        <v>18</v>
      </c>
      <c r="C18" s="24"/>
      <c r="E18" s="25" t="s">
        <v>19</v>
      </c>
      <c r="F18" s="26" t="s">
        <v>20</v>
      </c>
      <c r="H18" s="27" t="s">
        <v>21</v>
      </c>
      <c r="I18" s="27"/>
    </row>
    <row r="19" customFormat="false" ht="9.75" hidden="false" customHeight="true" outlineLevel="0" collapsed="false"/>
    <row r="20" customFormat="false" ht="24.75" hidden="false" customHeight="true" outlineLevel="0" collapsed="false">
      <c r="B20" s="28" t="s">
        <v>22</v>
      </c>
      <c r="C20" s="28"/>
      <c r="D20" s="28"/>
      <c r="E20" s="28"/>
      <c r="F20" s="28"/>
      <c r="G20" s="28"/>
      <c r="H20" s="28"/>
      <c r="I20" s="28"/>
    </row>
    <row r="21" customFormat="false" ht="21.75" hidden="false" customHeight="true" outlineLevel="0" collapsed="false"/>
    <row r="22" customFormat="false" ht="21.75" hidden="false" customHeight="true" outlineLevel="0" collapsed="false"/>
    <row r="23" customFormat="false" ht="21.75" hidden="false" customHeight="true" outlineLevel="0" collapsed="false"/>
    <row r="24" customFormat="false" ht="21.75" hidden="false" customHeight="true" outlineLevel="0" collapsed="false"/>
    <row r="25" customFormat="false" ht="21.75" hidden="false" customHeight="true" outlineLevel="0" collapsed="false"/>
    <row r="26" customFormat="false" ht="21.75" hidden="false" customHeight="true" outlineLevel="0" collapsed="false"/>
    <row r="27" customFormat="false" ht="21.75" hidden="false" customHeight="true" outlineLevel="0" collapsed="false"/>
    <row r="28" customFormat="false" ht="21.75" hidden="false" customHeight="true" outlineLevel="0" collapsed="false"/>
    <row r="29" customFormat="false" ht="21.75" hidden="false" customHeight="true" outlineLevel="0" collapsed="false"/>
    <row r="30" customFormat="false" ht="21.75" hidden="false" customHeight="true" outlineLevel="0" collapsed="false"/>
    <row r="31" customFormat="false" ht="21.75" hidden="false" customHeight="true" outlineLevel="0" collapsed="false"/>
    <row r="32" customFormat="false" ht="21.75" hidden="false" customHeight="true" outlineLevel="0" collapsed="false"/>
    <row r="33" customFormat="false" ht="21.75" hidden="false" customHeight="true" outlineLevel="0" collapsed="false"/>
    <row r="34" customFormat="false" ht="21.75" hidden="false" customHeight="true" outlineLevel="0" collapsed="false"/>
    <row r="35" customFormat="false" ht="21.75" hidden="false" customHeight="true" outlineLevel="0" collapsed="false"/>
    <row r="36" customFormat="false" ht="21.75" hidden="false" customHeight="true" outlineLevel="0" collapsed="false"/>
    <row r="37" customFormat="false" ht="21.75" hidden="false" customHeight="true" outlineLevel="0" collapsed="false"/>
    <row r="38" customFormat="false" ht="21.75" hidden="false" customHeight="true" outlineLevel="0" collapsed="false"/>
    <row r="39" customFormat="false" ht="21.75" hidden="false" customHeight="true" outlineLevel="0" collapsed="false"/>
    <row r="40" customFormat="false" ht="21.75" hidden="false" customHeight="true" outlineLevel="0" collapsed="false"/>
    <row r="41" customFormat="false" ht="21.75" hidden="false" customHeight="true" outlineLevel="0" collapsed="false"/>
    <row r="42" customFormat="false" ht="21.75" hidden="false" customHeight="true" outlineLevel="0" collapsed="false"/>
    <row r="43" customFormat="false" ht="21.75" hidden="false" customHeight="true" outlineLevel="0" collapsed="false"/>
    <row r="44" customFormat="false" ht="21.75" hidden="false" customHeight="true" outlineLevel="0" collapsed="false"/>
    <row r="45" customFormat="false" ht="21.75" hidden="false" customHeight="true" outlineLevel="0" collapsed="false"/>
    <row r="46" customFormat="false" ht="21.75" hidden="false" customHeight="true" outlineLevel="0" collapsed="false"/>
    <row r="47" customFormat="false" ht="21.75" hidden="false" customHeight="true" outlineLevel="0" collapsed="false"/>
    <row r="48" customFormat="false" ht="21.75" hidden="false" customHeight="true" outlineLevel="0" collapsed="false"/>
    <row r="49" customFormat="false" ht="21.75" hidden="false" customHeight="true" outlineLevel="0" collapsed="false"/>
    <row r="50" customFormat="false" ht="21.75" hidden="false" customHeight="true" outlineLevel="0" collapsed="false"/>
    <row r="51" customFormat="false" ht="21.75" hidden="false" customHeight="true" outlineLevel="0" collapsed="false"/>
    <row r="52" customFormat="false" ht="21.75" hidden="false" customHeight="true" outlineLevel="0" collapsed="false"/>
    <row r="53" customFormat="false" ht="21.75" hidden="false" customHeight="true" outlineLevel="0" collapsed="false"/>
    <row r="54" customFormat="false" ht="21.75" hidden="false" customHeight="true" outlineLevel="0" collapsed="false"/>
    <row r="55" customFormat="false" ht="21.75" hidden="false" customHeight="true" outlineLevel="0" collapsed="false"/>
    <row r="56" customFormat="false" ht="21.75" hidden="false" customHeight="true" outlineLevel="0" collapsed="false"/>
    <row r="57" customFormat="false" ht="21.75" hidden="false" customHeight="true" outlineLevel="0" collapsed="false"/>
    <row r="58" customFormat="false" ht="21.75" hidden="false" customHeight="true" outlineLevel="0" collapsed="false"/>
    <row r="59" customFormat="false" ht="21.75" hidden="false" customHeight="true" outlineLevel="0" collapsed="false"/>
  </sheetData>
  <mergeCells count="8">
    <mergeCell ref="B2:I2"/>
    <mergeCell ref="B3:I3"/>
    <mergeCell ref="B5:I5"/>
    <mergeCell ref="B11:I11"/>
    <mergeCell ref="B17:I17"/>
    <mergeCell ref="B18:C18"/>
    <mergeCell ref="H18:I18"/>
    <mergeCell ref="B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895EF"/>
    <pageSetUpPr fitToPage="false"/>
  </sheetPr>
  <dimension ref="A1:AS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3"/>
    <col collapsed="false" customWidth="true" hidden="false" outlineLevel="0" max="3" min="3" style="1" width="18"/>
    <col collapsed="false" customWidth="true" hidden="false" outlineLevel="0" max="4" min="4" style="1" width="11"/>
    <col collapsed="false" customWidth="true" hidden="false" outlineLevel="0" max="5" min="5" style="1" width="13"/>
    <col collapsed="false" customWidth="true" hidden="false" outlineLevel="0" max="6" min="6" style="1" width="16"/>
    <col collapsed="false" customWidth="true" hidden="false" outlineLevel="0" max="7" min="7" style="1" width="13"/>
    <col collapsed="false" customWidth="true" hidden="false" outlineLevel="0" max="8" min="8" style="1" width="7"/>
    <col collapsed="false" customWidth="true" hidden="false" outlineLevel="0" max="10" min="9" style="1" width="11"/>
    <col collapsed="false" customWidth="true" hidden="false" outlineLevel="0" max="11" min="11" style="1" width="10"/>
    <col collapsed="false" customWidth="true" hidden="false" outlineLevel="0" max="12" min="12" style="1" width="12"/>
    <col collapsed="false" customWidth="true" hidden="false" outlineLevel="0" max="13" min="13" style="1" width="9"/>
    <col collapsed="false" customWidth="true" hidden="false" outlineLevel="0" max="16" min="14" style="1" width="10"/>
    <col collapsed="false" customWidth="true" hidden="false" outlineLevel="0" max="17" min="17" style="1" width="7"/>
    <col collapsed="false" customWidth="true" hidden="false" outlineLevel="0" max="18" min="18" style="1" width="8"/>
    <col collapsed="false" customWidth="true" hidden="false" outlineLevel="0" max="19" min="19" style="1" width="14"/>
    <col collapsed="false" customWidth="true" hidden="false" outlineLevel="0" max="20" min="20" style="1" width="10"/>
    <col collapsed="false" customWidth="true" hidden="false" outlineLevel="0" max="21" min="21" style="1" width="11"/>
    <col collapsed="false" customWidth="true" hidden="false" outlineLevel="0" max="22" min="22" style="1" width="9"/>
    <col collapsed="false" customWidth="true" hidden="false" outlineLevel="0" max="23" min="23" style="1" width="13"/>
    <col collapsed="false" customWidth="true" hidden="false" outlineLevel="0" max="24" min="24" style="1" width="15"/>
    <col collapsed="false" customWidth="true" hidden="false" outlineLevel="0" max="25" min="25" style="1" width="12"/>
    <col collapsed="false" customWidth="true" hidden="false" outlineLevel="0" max="27" min="26" style="1" width="11"/>
    <col collapsed="false" customWidth="true" hidden="false" outlineLevel="0" max="29" min="28" style="1" width="10"/>
    <col collapsed="false" customWidth="true" hidden="false" outlineLevel="0" max="30" min="30" style="1" width="11"/>
    <col collapsed="false" customWidth="true" hidden="false" outlineLevel="0" max="31" min="31" style="1" width="9"/>
    <col collapsed="false" customWidth="true" hidden="false" outlineLevel="0" max="33" min="32" style="1" width="13"/>
    <col collapsed="false" customWidth="true" hidden="false" outlineLevel="0" max="34" min="34" style="1" width="12"/>
    <col collapsed="false" customWidth="true" hidden="false" outlineLevel="0" max="35" min="35" style="1" width="14"/>
    <col collapsed="false" customWidth="true" hidden="false" outlineLevel="0" max="36" min="36" style="1" width="12"/>
    <col collapsed="false" customWidth="true" hidden="false" outlineLevel="0" max="37" min="37" style="1" width="11"/>
    <col collapsed="false" customWidth="true" hidden="false" outlineLevel="0" max="38" min="38" style="1" width="12"/>
    <col collapsed="false" customWidth="true" hidden="false" outlineLevel="0" max="39" min="39" style="1" width="11"/>
    <col collapsed="false" customWidth="true" hidden="false" outlineLevel="0" max="40" min="40" style="1" width="9"/>
    <col collapsed="false" customWidth="true" hidden="false" outlineLevel="0" max="41" min="41" style="1" width="10"/>
    <col collapsed="false" customWidth="true" hidden="false" outlineLevel="0" max="42" min="42" style="1" width="12"/>
    <col collapsed="false" customWidth="true" hidden="false" outlineLevel="0" max="43" min="43" style="1" width="15"/>
    <col collapsed="false" customWidth="true" hidden="false" outlineLevel="0" max="44" min="44" style="1" width="10"/>
    <col collapsed="false" customWidth="true" hidden="false" outlineLevel="0" max="45" min="45" style="1" width="22"/>
  </cols>
  <sheetData>
    <row r="1" customFormat="false" ht="21.75" hidden="false" customHeight="true" outlineLevel="0" collapsed="false">
      <c r="A1" s="29" t="s">
        <v>23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30" t="s">
        <v>24</v>
      </c>
      <c r="N1" s="30"/>
      <c r="O1" s="30"/>
      <c r="P1" s="30"/>
      <c r="Q1" s="30"/>
      <c r="R1" s="30"/>
      <c r="S1" s="30"/>
      <c r="T1" s="30"/>
      <c r="U1" s="30"/>
      <c r="V1" s="30"/>
      <c r="W1" s="31" t="s">
        <v>25</v>
      </c>
      <c r="X1" s="31"/>
      <c r="Y1" s="31"/>
      <c r="Z1" s="31"/>
      <c r="AA1" s="31"/>
      <c r="AB1" s="31"/>
      <c r="AC1" s="31"/>
      <c r="AD1" s="31"/>
      <c r="AE1" s="31"/>
      <c r="AF1" s="32" t="s">
        <v>26</v>
      </c>
      <c r="AG1" s="32"/>
      <c r="AH1" s="32"/>
      <c r="AI1" s="32"/>
      <c r="AJ1" s="32"/>
      <c r="AK1" s="32"/>
      <c r="AL1" s="32"/>
      <c r="AM1" s="32"/>
      <c r="AN1" s="32"/>
      <c r="AO1" s="33" t="s">
        <v>27</v>
      </c>
      <c r="AP1" s="33"/>
      <c r="AQ1" s="33"/>
      <c r="AR1" s="34" t="s">
        <v>28</v>
      </c>
      <c r="AS1" s="34"/>
    </row>
    <row r="2" customFormat="false" ht="37.5" hidden="false" customHeight="true" outlineLevel="0" collapsed="false">
      <c r="A2" s="35" t="s">
        <v>29</v>
      </c>
      <c r="B2" s="35" t="s">
        <v>30</v>
      </c>
      <c r="C2" s="35" t="s">
        <v>31</v>
      </c>
      <c r="D2" s="35" t="s">
        <v>32</v>
      </c>
      <c r="E2" s="35" t="s">
        <v>33</v>
      </c>
      <c r="F2" s="35" t="s">
        <v>34</v>
      </c>
      <c r="G2" s="35" t="s">
        <v>35</v>
      </c>
      <c r="H2" s="35" t="s">
        <v>36</v>
      </c>
      <c r="I2" s="35" t="s">
        <v>37</v>
      </c>
      <c r="J2" s="35" t="s">
        <v>38</v>
      </c>
      <c r="K2" s="35" t="s">
        <v>39</v>
      </c>
      <c r="L2" s="36" t="s">
        <v>40</v>
      </c>
      <c r="M2" s="35" t="s">
        <v>41</v>
      </c>
      <c r="N2" s="35" t="s">
        <v>42</v>
      </c>
      <c r="O2" s="35" t="s">
        <v>43</v>
      </c>
      <c r="P2" s="35" t="s">
        <v>44</v>
      </c>
      <c r="Q2" s="35" t="s">
        <v>45</v>
      </c>
      <c r="R2" s="35" t="s">
        <v>46</v>
      </c>
      <c r="S2" s="35" t="s">
        <v>47</v>
      </c>
      <c r="T2" s="35" t="s">
        <v>48</v>
      </c>
      <c r="U2" s="35" t="s">
        <v>49</v>
      </c>
      <c r="V2" s="35" t="s">
        <v>50</v>
      </c>
      <c r="W2" s="35" t="s">
        <v>51</v>
      </c>
      <c r="X2" s="35" t="s">
        <v>52</v>
      </c>
      <c r="Y2" s="35" t="s">
        <v>53</v>
      </c>
      <c r="Z2" s="35" t="s">
        <v>54</v>
      </c>
      <c r="AA2" s="35" t="s">
        <v>55</v>
      </c>
      <c r="AB2" s="35" t="s">
        <v>56</v>
      </c>
      <c r="AC2" s="35" t="s">
        <v>57</v>
      </c>
      <c r="AD2" s="35" t="s">
        <v>58</v>
      </c>
      <c r="AE2" s="35" t="s">
        <v>59</v>
      </c>
      <c r="AF2" s="35" t="s">
        <v>60</v>
      </c>
      <c r="AG2" s="35" t="s">
        <v>61</v>
      </c>
      <c r="AH2" s="35" t="s">
        <v>62</v>
      </c>
      <c r="AI2" s="35" t="s">
        <v>63</v>
      </c>
      <c r="AJ2" s="35" t="s">
        <v>64</v>
      </c>
      <c r="AK2" s="35" t="s">
        <v>65</v>
      </c>
      <c r="AL2" s="35" t="s">
        <v>66</v>
      </c>
      <c r="AM2" s="35" t="s">
        <v>67</v>
      </c>
      <c r="AN2" s="35" t="s">
        <v>68</v>
      </c>
      <c r="AO2" s="35" t="s">
        <v>69</v>
      </c>
      <c r="AP2" s="35" t="s">
        <v>70</v>
      </c>
      <c r="AQ2" s="35" t="s">
        <v>71</v>
      </c>
      <c r="AR2" s="35" t="s">
        <v>72</v>
      </c>
      <c r="AS2" s="35" t="s">
        <v>73</v>
      </c>
    </row>
    <row r="3" customFormat="false" ht="21.75" hidden="false" customHeight="true" outlineLevel="0" collapsed="false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8" t="str">
        <f aca="false">IF(A3="","",SUM(Y3:AE3))</f>
        <v/>
      </c>
      <c r="AG3" s="38" t="str">
        <f aca="false">IF(AF3="","",ROUND(AF3*1.2/100,0)*100)</f>
        <v/>
      </c>
      <c r="AH3" s="38"/>
      <c r="AI3" s="38" t="str">
        <f aca="false">IF(AF3="","",ROUND(AF3*1.05/100,0)*100)</f>
        <v/>
      </c>
      <c r="AJ3" s="38" t="str">
        <f aca="false">IF(OR(AH3="",AF3=""),"",AH3-AF3)</f>
        <v/>
      </c>
      <c r="AK3" s="39" t="str">
        <f aca="false">IF(OR(AF3="",AF3=0),"",AJ3/AF3)</f>
        <v/>
      </c>
      <c r="AL3" s="38" t="str">
        <f aca="false">IF(AJ3="","",AJ3-AM3)</f>
        <v/>
      </c>
      <c r="AM3" s="40" t="str">
        <f aca="false">IF(OR(AH3="",AF3=""),"",ROUND((AH3-AF3)/1.2*0.2,2))</f>
        <v/>
      </c>
      <c r="AN3" s="39" t="str">
        <f aca="false">IF(OR(AF3="",AF3=0),"",AL3/AF3)</f>
        <v/>
      </c>
      <c r="AO3" s="37"/>
      <c r="AP3" s="37"/>
      <c r="AQ3" s="37"/>
      <c r="AR3" s="41" t="str">
        <f aca="true">IF(OR(A3="",P3=""),"",IF(AO3&lt;&gt;"",AO3-P3,TODAY()-P3))</f>
        <v/>
      </c>
      <c r="AS3" s="37"/>
    </row>
    <row r="4" customFormat="false" ht="21.75" hidden="false" customHeight="true" outlineLevel="0" collapsed="false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3" t="str">
        <f aca="false">IF(A4="","",SUM(Y4:AE4))</f>
        <v/>
      </c>
      <c r="AG4" s="43" t="str">
        <f aca="false">IF(AF4="","",ROUND(AF4*1.2/100,0)*100)</f>
        <v/>
      </c>
      <c r="AH4" s="43"/>
      <c r="AI4" s="43" t="str">
        <f aca="false">IF(AF4="","",ROUND(AF4*1.05/100,0)*100)</f>
        <v/>
      </c>
      <c r="AJ4" s="43" t="str">
        <f aca="false">IF(OR(AH4="",AF4=""),"",AH4-AF4)</f>
        <v/>
      </c>
      <c r="AK4" s="44" t="str">
        <f aca="false">IF(OR(AF4="",AF4=0),"",AJ4/AF4)</f>
        <v/>
      </c>
      <c r="AL4" s="43" t="str">
        <f aca="false">IF(AJ4="","",AJ4-AM4)</f>
        <v/>
      </c>
      <c r="AM4" s="45" t="str">
        <f aca="false">IF(OR(AH4="",AF4=""),"",ROUND((AH4-AF4)/1.2*0.2,2))</f>
        <v/>
      </c>
      <c r="AN4" s="44" t="str">
        <f aca="false">IF(OR(AF4="",AF4=0),"",AL4/AF4)</f>
        <v/>
      </c>
      <c r="AO4" s="42"/>
      <c r="AP4" s="42"/>
      <c r="AQ4" s="42"/>
      <c r="AR4" s="46" t="str">
        <f aca="true">IF(OR(A4="",P4=""),"",IF(AO4&lt;&gt;"",AO4-P4,TODAY()-P4))</f>
        <v/>
      </c>
      <c r="AS4" s="42"/>
    </row>
    <row r="5" customFormat="false" ht="21.75" hidden="false" customHeight="true" outlineLevel="0" collapsed="false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8" t="str">
        <f aca="false">IF(A5="","",SUM(Y5:AE5))</f>
        <v/>
      </c>
      <c r="AG5" s="38" t="str">
        <f aca="false">IF(AF5="","",ROUND(AF5*1.2/100,0)*100)</f>
        <v/>
      </c>
      <c r="AH5" s="38"/>
      <c r="AI5" s="38" t="str">
        <f aca="false">IF(AF5="","",ROUND(AF5*1.05/100,0)*100)</f>
        <v/>
      </c>
      <c r="AJ5" s="38" t="str">
        <f aca="false">IF(OR(AH5="",AF5=""),"",AH5-AF5)</f>
        <v/>
      </c>
      <c r="AK5" s="39" t="str">
        <f aca="false">IF(OR(AF5="",AF5=0),"",AJ5/AF5)</f>
        <v/>
      </c>
      <c r="AL5" s="38" t="str">
        <f aca="false">IF(AJ5="","",AJ5-AM5)</f>
        <v/>
      </c>
      <c r="AM5" s="40" t="str">
        <f aca="false">IF(OR(AH5="",AF5=""),"",ROUND((AH5-AF5)/1.2*0.2,2))</f>
        <v/>
      </c>
      <c r="AN5" s="39" t="str">
        <f aca="false">IF(OR(AF5="",AF5=0),"",AL5/AF5)</f>
        <v/>
      </c>
      <c r="AO5" s="37"/>
      <c r="AP5" s="37"/>
      <c r="AQ5" s="37"/>
      <c r="AR5" s="41" t="str">
        <f aca="true">IF(OR(A5="",P5=""),"",IF(AO5&lt;&gt;"",AO5-P5,TODAY()-P5))</f>
        <v/>
      </c>
      <c r="AS5" s="37"/>
    </row>
    <row r="6" customFormat="false" ht="21.75" hidden="false" customHeight="true" outlineLevel="0" collapsed="false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3" t="str">
        <f aca="false">IF(A6="","",SUM(Y6:AE6))</f>
        <v/>
      </c>
      <c r="AG6" s="43" t="str">
        <f aca="false">IF(AF6="","",ROUND(AF6*1.2/100,0)*100)</f>
        <v/>
      </c>
      <c r="AH6" s="43"/>
      <c r="AI6" s="43" t="str">
        <f aca="false">IF(AF6="","",ROUND(AF6*1.05/100,0)*100)</f>
        <v/>
      </c>
      <c r="AJ6" s="43" t="str">
        <f aca="false">IF(OR(AH6="",AF6=""),"",AH6-AF6)</f>
        <v/>
      </c>
      <c r="AK6" s="44" t="str">
        <f aca="false">IF(OR(AF6="",AF6=0),"",AJ6/AF6)</f>
        <v/>
      </c>
      <c r="AL6" s="43" t="str">
        <f aca="false">IF(AJ6="","",AJ6-AM6)</f>
        <v/>
      </c>
      <c r="AM6" s="45" t="str">
        <f aca="false">IF(OR(AH6="",AF6=""),"",ROUND((AH6-AF6)/1.2*0.2,2))</f>
        <v/>
      </c>
      <c r="AN6" s="44" t="str">
        <f aca="false">IF(OR(AF6="",AF6=0),"",AL6/AF6)</f>
        <v/>
      </c>
      <c r="AO6" s="42"/>
      <c r="AP6" s="42"/>
      <c r="AQ6" s="42"/>
      <c r="AR6" s="46" t="str">
        <f aca="true">IF(OR(A6="",P6=""),"",IF(AO6&lt;&gt;"",AO6-P6,TODAY()-P6))</f>
        <v/>
      </c>
      <c r="AS6" s="42"/>
    </row>
    <row r="7" customFormat="false" ht="21.75" hidden="false" customHeight="true" outlineLevel="0" collapsed="false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8" t="str">
        <f aca="false">IF(A7="","",SUM(Y7:AE7))</f>
        <v/>
      </c>
      <c r="AG7" s="38" t="str">
        <f aca="false">IF(AF7="","",ROUND(AF7*1.2/100,0)*100)</f>
        <v/>
      </c>
      <c r="AH7" s="38"/>
      <c r="AI7" s="38" t="str">
        <f aca="false">IF(AF7="","",ROUND(AF7*1.05/100,0)*100)</f>
        <v/>
      </c>
      <c r="AJ7" s="38" t="str">
        <f aca="false">IF(OR(AH7="",AF7=""),"",AH7-AF7)</f>
        <v/>
      </c>
      <c r="AK7" s="39" t="str">
        <f aca="false">IF(OR(AF7="",AF7=0),"",AJ7/AF7)</f>
        <v/>
      </c>
      <c r="AL7" s="38" t="str">
        <f aca="false">IF(AJ7="","",AJ7-AM7)</f>
        <v/>
      </c>
      <c r="AM7" s="40" t="str">
        <f aca="false">IF(OR(AH7="",AF7=""),"",ROUND((AH7-AF7)/1.2*0.2,2))</f>
        <v/>
      </c>
      <c r="AN7" s="39" t="str">
        <f aca="false">IF(OR(AF7="",AF7=0),"",AL7/AF7)</f>
        <v/>
      </c>
      <c r="AO7" s="37"/>
      <c r="AP7" s="37"/>
      <c r="AQ7" s="37"/>
      <c r="AR7" s="41" t="str">
        <f aca="true">IF(OR(A7="",P7=""),"",IF(AO7&lt;&gt;"",AO7-P7,TODAY()-P7))</f>
        <v/>
      </c>
      <c r="AS7" s="37"/>
    </row>
    <row r="8" customFormat="false" ht="21.75" hidden="false" customHeight="true" outlineLevel="0" collapsed="false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3" t="str">
        <f aca="false">IF(A8="","",SUM(Y8:AE8))</f>
        <v/>
      </c>
      <c r="AG8" s="43" t="str">
        <f aca="false">IF(AF8="","",ROUND(AF8*1.2/100,0)*100)</f>
        <v/>
      </c>
      <c r="AH8" s="43"/>
      <c r="AI8" s="43" t="str">
        <f aca="false">IF(AF8="","",ROUND(AF8*1.05/100,0)*100)</f>
        <v/>
      </c>
      <c r="AJ8" s="43" t="str">
        <f aca="false">IF(OR(AH8="",AF8=""),"",AH8-AF8)</f>
        <v/>
      </c>
      <c r="AK8" s="44" t="str">
        <f aca="false">IF(OR(AF8="",AF8=0),"",AJ8/AF8)</f>
        <v/>
      </c>
      <c r="AL8" s="43" t="str">
        <f aca="false">IF(AJ8="","",AJ8-AM8)</f>
        <v/>
      </c>
      <c r="AM8" s="45" t="str">
        <f aca="false">IF(OR(AH8="",AF8=""),"",ROUND((AH8-AF8)/1.2*0.2,2))</f>
        <v/>
      </c>
      <c r="AN8" s="44" t="str">
        <f aca="false">IF(OR(AF8="",AF8=0),"",AL8/AF8)</f>
        <v/>
      </c>
      <c r="AO8" s="42"/>
      <c r="AP8" s="42"/>
      <c r="AQ8" s="42"/>
      <c r="AR8" s="46" t="str">
        <f aca="true">IF(OR(A8="",P8=""),"",IF(AO8&lt;&gt;"",AO8-P8,TODAY()-P8))</f>
        <v/>
      </c>
      <c r="AS8" s="42"/>
    </row>
    <row r="9" customFormat="false" ht="21.75" hidden="false" customHeight="true" outlineLevel="0" collapsed="false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8" t="str">
        <f aca="false">IF(A9="","",SUM(Y9:AE9))</f>
        <v/>
      </c>
      <c r="AG9" s="38" t="str">
        <f aca="false">IF(AF9="","",ROUND(AF9*1.2/100,0)*100)</f>
        <v/>
      </c>
      <c r="AH9" s="38"/>
      <c r="AI9" s="38" t="str">
        <f aca="false">IF(AF9="","",ROUND(AF9*1.05/100,0)*100)</f>
        <v/>
      </c>
      <c r="AJ9" s="38" t="str">
        <f aca="false">IF(OR(AH9="",AF9=""),"",AH9-AF9)</f>
        <v/>
      </c>
      <c r="AK9" s="39" t="str">
        <f aca="false">IF(OR(AF9="",AF9=0),"",AJ9/AF9)</f>
        <v/>
      </c>
      <c r="AL9" s="38" t="str">
        <f aca="false">IF(AJ9="","",AJ9-AM9)</f>
        <v/>
      </c>
      <c r="AM9" s="40" t="str">
        <f aca="false">IF(OR(AH9="",AF9=""),"",ROUND((AH9-AF9)/1.2*0.2,2))</f>
        <v/>
      </c>
      <c r="AN9" s="39" t="str">
        <f aca="false">IF(OR(AF9="",AF9=0),"",AL9/AF9)</f>
        <v/>
      </c>
      <c r="AO9" s="37"/>
      <c r="AP9" s="37"/>
      <c r="AQ9" s="37"/>
      <c r="AR9" s="41" t="str">
        <f aca="true">IF(OR(A9="",P9=""),"",IF(AO9&lt;&gt;"",AO9-P9,TODAY()-P9))</f>
        <v/>
      </c>
      <c r="AS9" s="37"/>
    </row>
    <row r="10" customFormat="false" ht="21.75" hidden="false" customHeight="true" outlineLevel="0" collapsed="false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 t="str">
        <f aca="false">IF(A10="","",SUM(Y10:AE10))</f>
        <v/>
      </c>
      <c r="AG10" s="43" t="str">
        <f aca="false">IF(AF10="","",ROUND(AF10*1.2/100,0)*100)</f>
        <v/>
      </c>
      <c r="AH10" s="43"/>
      <c r="AI10" s="43" t="str">
        <f aca="false">IF(AF10="","",ROUND(AF10*1.05/100,0)*100)</f>
        <v/>
      </c>
      <c r="AJ10" s="43" t="str">
        <f aca="false">IF(OR(AH10="",AF10=""),"",AH10-AF10)</f>
        <v/>
      </c>
      <c r="AK10" s="44" t="str">
        <f aca="false">IF(OR(AF10="",AF10=0),"",AJ10/AF10)</f>
        <v/>
      </c>
      <c r="AL10" s="43" t="str">
        <f aca="false">IF(AJ10="","",AJ10-AM10)</f>
        <v/>
      </c>
      <c r="AM10" s="45" t="str">
        <f aca="false">IF(OR(AH10="",AF10=""),"",ROUND((AH10-AF10)/1.2*0.2,2))</f>
        <v/>
      </c>
      <c r="AN10" s="44" t="str">
        <f aca="false">IF(OR(AF10="",AF10=0),"",AL10/AF10)</f>
        <v/>
      </c>
      <c r="AO10" s="42"/>
      <c r="AP10" s="42"/>
      <c r="AQ10" s="42"/>
      <c r="AR10" s="46" t="str">
        <f aca="true">IF(OR(A10="",P10=""),"",IF(AO10&lt;&gt;"",AO10-P10,TODAY()-P10))</f>
        <v/>
      </c>
      <c r="AS10" s="42"/>
    </row>
    <row r="11" customFormat="false" ht="21.75" hidden="false" customHeight="true" outlineLevel="0" collapsed="false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8" t="str">
        <f aca="false">IF(A11="","",SUM(Y11:AE11))</f>
        <v/>
      </c>
      <c r="AG11" s="38" t="str">
        <f aca="false">IF(AF11="","",ROUND(AF11*1.2/100,0)*100)</f>
        <v/>
      </c>
      <c r="AH11" s="38"/>
      <c r="AI11" s="38" t="str">
        <f aca="false">IF(AF11="","",ROUND(AF11*1.05/100,0)*100)</f>
        <v/>
      </c>
      <c r="AJ11" s="38" t="str">
        <f aca="false">IF(OR(AH11="",AF11=""),"",AH11-AF11)</f>
        <v/>
      </c>
      <c r="AK11" s="39" t="str">
        <f aca="false">IF(OR(AF11="",AF11=0),"",AJ11/AF11)</f>
        <v/>
      </c>
      <c r="AL11" s="38" t="str">
        <f aca="false">IF(AJ11="","",AJ11-AM11)</f>
        <v/>
      </c>
      <c r="AM11" s="40" t="str">
        <f aca="false">IF(OR(AH11="",AF11=""),"",ROUND((AH11-AF11)/1.2*0.2,2))</f>
        <v/>
      </c>
      <c r="AN11" s="39" t="str">
        <f aca="false">IF(OR(AF11="",AF11=0),"",AL11/AF11)</f>
        <v/>
      </c>
      <c r="AO11" s="37"/>
      <c r="AP11" s="37"/>
      <c r="AQ11" s="37"/>
      <c r="AR11" s="41" t="str">
        <f aca="true">IF(OR(A11="",P11=""),"",IF(AO11&lt;&gt;"",AO11-P11,TODAY()-P11))</f>
        <v/>
      </c>
      <c r="AS11" s="37"/>
    </row>
    <row r="12" customFormat="false" ht="21.75" hidden="false" customHeight="true" outlineLevel="0" collapsed="false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 t="str">
        <f aca="false">IF(A12="","",SUM(Y12:AE12))</f>
        <v/>
      </c>
      <c r="AG12" s="43" t="str">
        <f aca="false">IF(AF12="","",ROUND(AF12*1.2/100,0)*100)</f>
        <v/>
      </c>
      <c r="AH12" s="43"/>
      <c r="AI12" s="43" t="str">
        <f aca="false">IF(AF12="","",ROUND(AF12*1.05/100,0)*100)</f>
        <v/>
      </c>
      <c r="AJ12" s="43" t="str">
        <f aca="false">IF(OR(AH12="",AF12=""),"",AH12-AF12)</f>
        <v/>
      </c>
      <c r="AK12" s="44" t="str">
        <f aca="false">IF(OR(AF12="",AF12=0),"",AJ12/AF12)</f>
        <v/>
      </c>
      <c r="AL12" s="43" t="str">
        <f aca="false">IF(AJ12="","",AJ12-AM12)</f>
        <v/>
      </c>
      <c r="AM12" s="45" t="str">
        <f aca="false">IF(OR(AH12="",AF12=""),"",ROUND((AH12-AF12)/1.2*0.2,2))</f>
        <v/>
      </c>
      <c r="AN12" s="44" t="str">
        <f aca="false">IF(OR(AF12="",AF12=0),"",AL12/AF12)</f>
        <v/>
      </c>
      <c r="AO12" s="42"/>
      <c r="AP12" s="42"/>
      <c r="AQ12" s="42"/>
      <c r="AR12" s="46" t="str">
        <f aca="true">IF(OR(A12="",P12=""),"",IF(AO12&lt;&gt;"",AO12-P12,TODAY()-P12))</f>
        <v/>
      </c>
      <c r="AS12" s="42"/>
    </row>
    <row r="13" customFormat="false" ht="21.75" hidden="false" customHeight="true" outlineLevel="0" collapsed="false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8" t="str">
        <f aca="false">IF(A13="","",SUM(Y13:AE13))</f>
        <v/>
      </c>
      <c r="AG13" s="38" t="str">
        <f aca="false">IF(AF13="","",ROUND(AF13*1.2/100,0)*100)</f>
        <v/>
      </c>
      <c r="AH13" s="38"/>
      <c r="AI13" s="38" t="str">
        <f aca="false">IF(AF13="","",ROUND(AF13*1.05/100,0)*100)</f>
        <v/>
      </c>
      <c r="AJ13" s="38" t="str">
        <f aca="false">IF(OR(AH13="",AF13=""),"",AH13-AF13)</f>
        <v/>
      </c>
      <c r="AK13" s="39" t="str">
        <f aca="false">IF(OR(AF13="",AF13=0),"",AJ13/AF13)</f>
        <v/>
      </c>
      <c r="AL13" s="38" t="str">
        <f aca="false">IF(AJ13="","",AJ13-AM13)</f>
        <v/>
      </c>
      <c r="AM13" s="40" t="str">
        <f aca="false">IF(OR(AH13="",AF13=""),"",ROUND((AH13-AF13)/1.2*0.2,2))</f>
        <v/>
      </c>
      <c r="AN13" s="39" t="str">
        <f aca="false">IF(OR(AF13="",AF13=0),"",AL13/AF13)</f>
        <v/>
      </c>
      <c r="AO13" s="37"/>
      <c r="AP13" s="37"/>
      <c r="AQ13" s="37"/>
      <c r="AR13" s="41" t="str">
        <f aca="true">IF(OR(A13="",P13=""),"",IF(AO13&lt;&gt;"",AO13-P13,TODAY()-P13))</f>
        <v/>
      </c>
      <c r="AS13" s="37"/>
    </row>
    <row r="14" customFormat="false" ht="21.75" hidden="false" customHeight="true" outlineLevel="0" collapsed="false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3" t="str">
        <f aca="false">IF(A14="","",SUM(Y14:AE14))</f>
        <v/>
      </c>
      <c r="AG14" s="43" t="str">
        <f aca="false">IF(AF14="","",ROUND(AF14*1.2/100,0)*100)</f>
        <v/>
      </c>
      <c r="AH14" s="43"/>
      <c r="AI14" s="43" t="str">
        <f aca="false">IF(AF14="","",ROUND(AF14*1.05/100,0)*100)</f>
        <v/>
      </c>
      <c r="AJ14" s="43" t="str">
        <f aca="false">IF(OR(AH14="",AF14=""),"",AH14-AF14)</f>
        <v/>
      </c>
      <c r="AK14" s="44" t="str">
        <f aca="false">IF(OR(AF14="",AF14=0),"",AJ14/AF14)</f>
        <v/>
      </c>
      <c r="AL14" s="43" t="str">
        <f aca="false">IF(AJ14="","",AJ14-AM14)</f>
        <v/>
      </c>
      <c r="AM14" s="45" t="str">
        <f aca="false">IF(OR(AH14="",AF14=""),"",ROUND((AH14-AF14)/1.2*0.2,2))</f>
        <v/>
      </c>
      <c r="AN14" s="44" t="str">
        <f aca="false">IF(OR(AF14="",AF14=0),"",AL14/AF14)</f>
        <v/>
      </c>
      <c r="AO14" s="42"/>
      <c r="AP14" s="42"/>
      <c r="AQ14" s="42"/>
      <c r="AR14" s="46" t="str">
        <f aca="true">IF(OR(A14="",P14=""),"",IF(AO14&lt;&gt;"",AO14-P14,TODAY()-P14))</f>
        <v/>
      </c>
      <c r="AS14" s="42"/>
    </row>
    <row r="15" customFormat="false" ht="21.75" hidden="false" customHeight="true" outlineLevel="0" collapsed="false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8" t="str">
        <f aca="false">IF(A15="","",SUM(Y15:AE15))</f>
        <v/>
      </c>
      <c r="AG15" s="38" t="str">
        <f aca="false">IF(AF15="","",ROUND(AF15*1.2/100,0)*100)</f>
        <v/>
      </c>
      <c r="AH15" s="38"/>
      <c r="AI15" s="38" t="str">
        <f aca="false">IF(AF15="","",ROUND(AF15*1.05/100,0)*100)</f>
        <v/>
      </c>
      <c r="AJ15" s="38" t="str">
        <f aca="false">IF(OR(AH15="",AF15=""),"",AH15-AF15)</f>
        <v/>
      </c>
      <c r="AK15" s="39" t="str">
        <f aca="false">IF(OR(AF15="",AF15=0),"",AJ15/AF15)</f>
        <v/>
      </c>
      <c r="AL15" s="38" t="str">
        <f aca="false">IF(AJ15="","",AJ15-AM15)</f>
        <v/>
      </c>
      <c r="AM15" s="40" t="str">
        <f aca="false">IF(OR(AH15="",AF15=""),"",ROUND((AH15-AF15)/1.2*0.2,2))</f>
        <v/>
      </c>
      <c r="AN15" s="39" t="str">
        <f aca="false">IF(OR(AF15="",AF15=0),"",AL15/AF15)</f>
        <v/>
      </c>
      <c r="AO15" s="37"/>
      <c r="AP15" s="37"/>
      <c r="AQ15" s="37"/>
      <c r="AR15" s="41" t="str">
        <f aca="true">IF(OR(A15="",P15=""),"",IF(AO15&lt;&gt;"",AO15-P15,TODAY()-P15))</f>
        <v/>
      </c>
      <c r="AS15" s="37"/>
    </row>
    <row r="16" customFormat="false" ht="21.75" hidden="false" customHeight="true" outlineLevel="0" collapsed="false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 t="str">
        <f aca="false">IF(A16="","",SUM(Y16:AE16))</f>
        <v/>
      </c>
      <c r="AG16" s="43" t="str">
        <f aca="false">IF(AF16="","",ROUND(AF16*1.2/100,0)*100)</f>
        <v/>
      </c>
      <c r="AH16" s="43"/>
      <c r="AI16" s="43" t="str">
        <f aca="false">IF(AF16="","",ROUND(AF16*1.05/100,0)*100)</f>
        <v/>
      </c>
      <c r="AJ16" s="43" t="str">
        <f aca="false">IF(OR(AH16="",AF16=""),"",AH16-AF16)</f>
        <v/>
      </c>
      <c r="AK16" s="44" t="str">
        <f aca="false">IF(OR(AF16="",AF16=0),"",AJ16/AF16)</f>
        <v/>
      </c>
      <c r="AL16" s="43" t="str">
        <f aca="false">IF(AJ16="","",AJ16-AM16)</f>
        <v/>
      </c>
      <c r="AM16" s="45" t="str">
        <f aca="false">IF(OR(AH16="",AF16=""),"",ROUND((AH16-AF16)/1.2*0.2,2))</f>
        <v/>
      </c>
      <c r="AN16" s="44" t="str">
        <f aca="false">IF(OR(AF16="",AF16=0),"",AL16/AF16)</f>
        <v/>
      </c>
      <c r="AO16" s="42"/>
      <c r="AP16" s="42"/>
      <c r="AQ16" s="42"/>
      <c r="AR16" s="46" t="str">
        <f aca="true">IF(OR(A16="",P16=""),"",IF(AO16&lt;&gt;"",AO16-P16,TODAY()-P16))</f>
        <v/>
      </c>
      <c r="AS16" s="42"/>
    </row>
    <row r="17" customFormat="false" ht="21.75" hidden="false" customHeight="true" outlineLevel="0" collapsed="false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8" t="str">
        <f aca="false">IF(A17="","",SUM(Y17:AE17))</f>
        <v/>
      </c>
      <c r="AG17" s="38" t="str">
        <f aca="false">IF(AF17="","",ROUND(AF17*1.2/100,0)*100)</f>
        <v/>
      </c>
      <c r="AH17" s="38"/>
      <c r="AI17" s="38" t="str">
        <f aca="false">IF(AF17="","",ROUND(AF17*1.05/100,0)*100)</f>
        <v/>
      </c>
      <c r="AJ17" s="38" t="str">
        <f aca="false">IF(OR(AH17="",AF17=""),"",AH17-AF17)</f>
        <v/>
      </c>
      <c r="AK17" s="39" t="str">
        <f aca="false">IF(OR(AF17="",AF17=0),"",AJ17/AF17)</f>
        <v/>
      </c>
      <c r="AL17" s="38" t="str">
        <f aca="false">IF(AJ17="","",AJ17-AM17)</f>
        <v/>
      </c>
      <c r="AM17" s="40" t="str">
        <f aca="false">IF(OR(AH17="",AF17=""),"",ROUND((AH17-AF17)/1.2*0.2,2))</f>
        <v/>
      </c>
      <c r="AN17" s="39" t="str">
        <f aca="false">IF(OR(AF17="",AF17=0),"",AL17/AF17)</f>
        <v/>
      </c>
      <c r="AO17" s="37"/>
      <c r="AP17" s="37"/>
      <c r="AQ17" s="37"/>
      <c r="AR17" s="41" t="str">
        <f aca="true">IF(OR(A17="",P17=""),"",IF(AO17&lt;&gt;"",AO17-P17,TODAY()-P17))</f>
        <v/>
      </c>
      <c r="AS17" s="37"/>
    </row>
    <row r="18" customFormat="false" ht="21.7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 t="str">
        <f aca="false">IF(A18="","",SUM(Y18:AE18))</f>
        <v/>
      </c>
      <c r="AG18" s="43" t="str">
        <f aca="false">IF(AF18="","",ROUND(AF18*1.2/100,0)*100)</f>
        <v/>
      </c>
      <c r="AH18" s="43"/>
      <c r="AI18" s="43" t="str">
        <f aca="false">IF(AF18="","",ROUND(AF18*1.05/100,0)*100)</f>
        <v/>
      </c>
      <c r="AJ18" s="43" t="str">
        <f aca="false">IF(OR(AH18="",AF18=""),"",AH18-AF18)</f>
        <v/>
      </c>
      <c r="AK18" s="44" t="str">
        <f aca="false">IF(OR(AF18="",AF18=0),"",AJ18/AF18)</f>
        <v/>
      </c>
      <c r="AL18" s="43" t="str">
        <f aca="false">IF(AJ18="","",AJ18-AM18)</f>
        <v/>
      </c>
      <c r="AM18" s="45" t="str">
        <f aca="false">IF(OR(AH18="",AF18=""),"",ROUND((AH18-AF18)/1.2*0.2,2))</f>
        <v/>
      </c>
      <c r="AN18" s="44" t="str">
        <f aca="false">IF(OR(AF18="",AF18=0),"",AL18/AF18)</f>
        <v/>
      </c>
      <c r="AO18" s="42"/>
      <c r="AP18" s="42"/>
      <c r="AQ18" s="42"/>
      <c r="AR18" s="46" t="str">
        <f aca="true">IF(OR(A18="",P18=""),"",IF(AO18&lt;&gt;"",AO18-P18,TODAY()-P18))</f>
        <v/>
      </c>
      <c r="AS18" s="42"/>
    </row>
    <row r="19" customFormat="false" ht="21.75" hidden="false" customHeight="true" outlineLevel="0" collapsed="false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8" t="str">
        <f aca="false">IF(A19="","",SUM(Y19:AE19))</f>
        <v/>
      </c>
      <c r="AG19" s="38" t="str">
        <f aca="false">IF(AF19="","",ROUND(AF19*1.2/100,0)*100)</f>
        <v/>
      </c>
      <c r="AH19" s="38"/>
      <c r="AI19" s="38" t="str">
        <f aca="false">IF(AF19="","",ROUND(AF19*1.05/100,0)*100)</f>
        <v/>
      </c>
      <c r="AJ19" s="38" t="str">
        <f aca="false">IF(OR(AH19="",AF19=""),"",AH19-AF19)</f>
        <v/>
      </c>
      <c r="AK19" s="39" t="str">
        <f aca="false">IF(OR(AF19="",AF19=0),"",AJ19/AF19)</f>
        <v/>
      </c>
      <c r="AL19" s="38" t="str">
        <f aca="false">IF(AJ19="","",AJ19-AM19)</f>
        <v/>
      </c>
      <c r="AM19" s="40" t="str">
        <f aca="false">IF(OR(AH19="",AF19=""),"",ROUND((AH19-AF19)/1.2*0.2,2))</f>
        <v/>
      </c>
      <c r="AN19" s="39" t="str">
        <f aca="false">IF(OR(AF19="",AF19=0),"",AL19/AF19)</f>
        <v/>
      </c>
      <c r="AO19" s="37"/>
      <c r="AP19" s="37"/>
      <c r="AQ19" s="37"/>
      <c r="AR19" s="41" t="str">
        <f aca="true">IF(OR(A19="",P19=""),"",IF(AO19&lt;&gt;"",AO19-P19,TODAY()-P19))</f>
        <v/>
      </c>
      <c r="AS19" s="37"/>
    </row>
    <row r="20" customFormat="false" ht="21.75" hidden="false" customHeight="true" outlineLevel="0" collapsed="false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 t="str">
        <f aca="false">IF(A20="","",SUM(Y20:AE20))</f>
        <v/>
      </c>
      <c r="AG20" s="43" t="str">
        <f aca="false">IF(AF20="","",ROUND(AF20*1.2/100,0)*100)</f>
        <v/>
      </c>
      <c r="AH20" s="43"/>
      <c r="AI20" s="43" t="str">
        <f aca="false">IF(AF20="","",ROUND(AF20*1.05/100,0)*100)</f>
        <v/>
      </c>
      <c r="AJ20" s="43" t="str">
        <f aca="false">IF(OR(AH20="",AF20=""),"",AH20-AF20)</f>
        <v/>
      </c>
      <c r="AK20" s="44" t="str">
        <f aca="false">IF(OR(AF20="",AF20=0),"",AJ20/AF20)</f>
        <v/>
      </c>
      <c r="AL20" s="43" t="str">
        <f aca="false">IF(AJ20="","",AJ20-AM20)</f>
        <v/>
      </c>
      <c r="AM20" s="45" t="str">
        <f aca="false">IF(OR(AH20="",AF20=""),"",ROUND((AH20-AF20)/1.2*0.2,2))</f>
        <v/>
      </c>
      <c r="AN20" s="44" t="str">
        <f aca="false">IF(OR(AF20="",AF20=0),"",AL20/AF20)</f>
        <v/>
      </c>
      <c r="AO20" s="42"/>
      <c r="AP20" s="42"/>
      <c r="AQ20" s="42"/>
      <c r="AR20" s="46" t="str">
        <f aca="true">IF(OR(A20="",P20=""),"",IF(AO20&lt;&gt;"",AO20-P20,TODAY()-P20))</f>
        <v/>
      </c>
      <c r="AS20" s="42"/>
    </row>
    <row r="21" customFormat="false" ht="21.75" hidden="false" customHeight="true" outlineLevel="0" collapsed="false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8" t="str">
        <f aca="false">IF(A21="","",SUM(Y21:AE21))</f>
        <v/>
      </c>
      <c r="AG21" s="38" t="str">
        <f aca="false">IF(AF21="","",ROUND(AF21*1.2/100,0)*100)</f>
        <v/>
      </c>
      <c r="AH21" s="38"/>
      <c r="AI21" s="38" t="str">
        <f aca="false">IF(AF21="","",ROUND(AF21*1.05/100,0)*100)</f>
        <v/>
      </c>
      <c r="AJ21" s="38" t="str">
        <f aca="false">IF(OR(AH21="",AF21=""),"",AH21-AF21)</f>
        <v/>
      </c>
      <c r="AK21" s="39" t="str">
        <f aca="false">IF(OR(AF21="",AF21=0),"",AJ21/AF21)</f>
        <v/>
      </c>
      <c r="AL21" s="38" t="str">
        <f aca="false">IF(AJ21="","",AJ21-AM21)</f>
        <v/>
      </c>
      <c r="AM21" s="40" t="str">
        <f aca="false">IF(OR(AH21="",AF21=""),"",ROUND((AH21-AF21)/1.2*0.2,2))</f>
        <v/>
      </c>
      <c r="AN21" s="39" t="str">
        <f aca="false">IF(OR(AF21="",AF21=0),"",AL21/AF21)</f>
        <v/>
      </c>
      <c r="AO21" s="37"/>
      <c r="AP21" s="37"/>
      <c r="AQ21" s="37"/>
      <c r="AR21" s="41" t="str">
        <f aca="true">IF(OR(A21="",P21=""),"",IF(AO21&lt;&gt;"",AO21-P21,TODAY()-P21))</f>
        <v/>
      </c>
      <c r="AS21" s="37"/>
    </row>
    <row r="22" customFormat="false" ht="21.75" hidden="false" customHeight="true" outlineLevel="0" collapsed="false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 t="str">
        <f aca="false">IF(A22="","",SUM(Y22:AE22))</f>
        <v/>
      </c>
      <c r="AG22" s="43" t="str">
        <f aca="false">IF(AF22="","",ROUND(AF22*1.2/100,0)*100)</f>
        <v/>
      </c>
      <c r="AH22" s="43"/>
      <c r="AI22" s="43" t="str">
        <f aca="false">IF(AF22="","",ROUND(AF22*1.05/100,0)*100)</f>
        <v/>
      </c>
      <c r="AJ22" s="43" t="str">
        <f aca="false">IF(OR(AH22="",AF22=""),"",AH22-AF22)</f>
        <v/>
      </c>
      <c r="AK22" s="44" t="str">
        <f aca="false">IF(OR(AF22="",AF22=0),"",AJ22/AF22)</f>
        <v/>
      </c>
      <c r="AL22" s="43" t="str">
        <f aca="false">IF(AJ22="","",AJ22-AM22)</f>
        <v/>
      </c>
      <c r="AM22" s="45" t="str">
        <f aca="false">IF(OR(AH22="",AF22=""),"",ROUND((AH22-AF22)/1.2*0.2,2))</f>
        <v/>
      </c>
      <c r="AN22" s="44" t="str">
        <f aca="false">IF(OR(AF22="",AF22=0),"",AL22/AF22)</f>
        <v/>
      </c>
      <c r="AO22" s="42"/>
      <c r="AP22" s="42"/>
      <c r="AQ22" s="42"/>
      <c r="AR22" s="46" t="str">
        <f aca="true">IF(OR(A22="",P22=""),"",IF(AO22&lt;&gt;"",AO22-P22,TODAY()-P22))</f>
        <v/>
      </c>
      <c r="AS22" s="42"/>
    </row>
    <row r="23" customFormat="false" ht="21.75" hidden="false" customHeight="true" outlineLevel="0" collapsed="false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8" t="str">
        <f aca="false">IF(A23="","",SUM(Y23:AE23))</f>
        <v/>
      </c>
      <c r="AG23" s="38" t="str">
        <f aca="false">IF(AF23="","",ROUND(AF23*1.2/100,0)*100)</f>
        <v/>
      </c>
      <c r="AH23" s="38"/>
      <c r="AI23" s="38" t="str">
        <f aca="false">IF(AF23="","",ROUND(AF23*1.05/100,0)*100)</f>
        <v/>
      </c>
      <c r="AJ23" s="38" t="str">
        <f aca="false">IF(OR(AH23="",AF23=""),"",AH23-AF23)</f>
        <v/>
      </c>
      <c r="AK23" s="39" t="str">
        <f aca="false">IF(OR(AF23="",AF23=0),"",AJ23/AF23)</f>
        <v/>
      </c>
      <c r="AL23" s="38" t="str">
        <f aca="false">IF(AJ23="","",AJ23-AM23)</f>
        <v/>
      </c>
      <c r="AM23" s="40" t="str">
        <f aca="false">IF(OR(AH23="",AF23=""),"",ROUND((AH23-AF23)/1.2*0.2,2))</f>
        <v/>
      </c>
      <c r="AN23" s="39" t="str">
        <f aca="false">IF(OR(AF23="",AF23=0),"",AL23/AF23)</f>
        <v/>
      </c>
      <c r="AO23" s="37"/>
      <c r="AP23" s="37"/>
      <c r="AQ23" s="37"/>
      <c r="AR23" s="41" t="str">
        <f aca="true">IF(OR(A23="",P23=""),"",IF(AO23&lt;&gt;"",AO23-P23,TODAY()-P23))</f>
        <v/>
      </c>
      <c r="AS23" s="37"/>
    </row>
    <row r="24" customFormat="false" ht="21.75" hidden="false" customHeight="true" outlineLevel="0" collapsed="false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 t="str">
        <f aca="false">IF(A24="","",SUM(Y24:AE24))</f>
        <v/>
      </c>
      <c r="AG24" s="43" t="str">
        <f aca="false">IF(AF24="","",ROUND(AF24*1.2/100,0)*100)</f>
        <v/>
      </c>
      <c r="AH24" s="43"/>
      <c r="AI24" s="43" t="str">
        <f aca="false">IF(AF24="","",ROUND(AF24*1.05/100,0)*100)</f>
        <v/>
      </c>
      <c r="AJ24" s="43" t="str">
        <f aca="false">IF(OR(AH24="",AF24=""),"",AH24-AF24)</f>
        <v/>
      </c>
      <c r="AK24" s="44" t="str">
        <f aca="false">IF(OR(AF24="",AF24=0),"",AJ24/AF24)</f>
        <v/>
      </c>
      <c r="AL24" s="43" t="str">
        <f aca="false">IF(AJ24="","",AJ24-AM24)</f>
        <v/>
      </c>
      <c r="AM24" s="45" t="str">
        <f aca="false">IF(OR(AH24="",AF24=""),"",ROUND((AH24-AF24)/1.2*0.2,2))</f>
        <v/>
      </c>
      <c r="AN24" s="44" t="str">
        <f aca="false">IF(OR(AF24="",AF24=0),"",AL24/AF24)</f>
        <v/>
      </c>
      <c r="AO24" s="42"/>
      <c r="AP24" s="42"/>
      <c r="AQ24" s="42"/>
      <c r="AR24" s="46" t="str">
        <f aca="true">IF(OR(A24="",P24=""),"",IF(AO24&lt;&gt;"",AO24-P24,TODAY()-P24))</f>
        <v/>
      </c>
      <c r="AS24" s="42"/>
    </row>
    <row r="25" customFormat="false" ht="21.75" hidden="false" customHeight="true" outlineLevel="0" collapsed="false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8" t="str">
        <f aca="false">IF(A25="","",SUM(Y25:AE25))</f>
        <v/>
      </c>
      <c r="AG25" s="38" t="str">
        <f aca="false">IF(AF25="","",ROUND(AF25*1.2/100,0)*100)</f>
        <v/>
      </c>
      <c r="AH25" s="38"/>
      <c r="AI25" s="38" t="str">
        <f aca="false">IF(AF25="","",ROUND(AF25*1.05/100,0)*100)</f>
        <v/>
      </c>
      <c r="AJ25" s="38" t="str">
        <f aca="false">IF(OR(AH25="",AF25=""),"",AH25-AF25)</f>
        <v/>
      </c>
      <c r="AK25" s="39" t="str">
        <f aca="false">IF(OR(AF25="",AF25=0),"",AJ25/AF25)</f>
        <v/>
      </c>
      <c r="AL25" s="38" t="str">
        <f aca="false">IF(AJ25="","",AJ25-AM25)</f>
        <v/>
      </c>
      <c r="AM25" s="40" t="str">
        <f aca="false">IF(OR(AH25="",AF25=""),"",ROUND((AH25-AF25)/1.2*0.2,2))</f>
        <v/>
      </c>
      <c r="AN25" s="39" t="str">
        <f aca="false">IF(OR(AF25="",AF25=0),"",AL25/AF25)</f>
        <v/>
      </c>
      <c r="AO25" s="37"/>
      <c r="AP25" s="37"/>
      <c r="AQ25" s="37"/>
      <c r="AR25" s="41" t="str">
        <f aca="true">IF(OR(A25="",P25=""),"",IF(AO25&lt;&gt;"",AO25-P25,TODAY()-P25))</f>
        <v/>
      </c>
      <c r="AS25" s="37"/>
    </row>
    <row r="26" customFormat="false" ht="21.75" hidden="false" customHeight="true" outlineLevel="0" collapsed="false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 t="str">
        <f aca="false">IF(A26="","",SUM(Y26:AE26))</f>
        <v/>
      </c>
      <c r="AG26" s="43" t="str">
        <f aca="false">IF(AF26="","",ROUND(AF26*1.2/100,0)*100)</f>
        <v/>
      </c>
      <c r="AH26" s="43"/>
      <c r="AI26" s="43" t="str">
        <f aca="false">IF(AF26="","",ROUND(AF26*1.05/100,0)*100)</f>
        <v/>
      </c>
      <c r="AJ26" s="43" t="str">
        <f aca="false">IF(OR(AH26="",AF26=""),"",AH26-AF26)</f>
        <v/>
      </c>
      <c r="AK26" s="44" t="str">
        <f aca="false">IF(OR(AF26="",AF26=0),"",AJ26/AF26)</f>
        <v/>
      </c>
      <c r="AL26" s="43" t="str">
        <f aca="false">IF(AJ26="","",AJ26-AM26)</f>
        <v/>
      </c>
      <c r="AM26" s="45" t="str">
        <f aca="false">IF(OR(AH26="",AF26=""),"",ROUND((AH26-AF26)/1.2*0.2,2))</f>
        <v/>
      </c>
      <c r="AN26" s="44" t="str">
        <f aca="false">IF(OR(AF26="",AF26=0),"",AL26/AF26)</f>
        <v/>
      </c>
      <c r="AO26" s="42"/>
      <c r="AP26" s="42"/>
      <c r="AQ26" s="42"/>
      <c r="AR26" s="46" t="str">
        <f aca="true">IF(OR(A26="",P26=""),"",IF(AO26&lt;&gt;"",AO26-P26,TODAY()-P26))</f>
        <v/>
      </c>
      <c r="AS26" s="42"/>
    </row>
    <row r="27" customFormat="false" ht="21.75" hidden="false" customHeight="true" outlineLevel="0" collapsed="false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8" t="str">
        <f aca="false">IF(A27="","",SUM(Y27:AE27))</f>
        <v/>
      </c>
      <c r="AG27" s="38" t="str">
        <f aca="false">IF(AF27="","",ROUND(AF27*1.2/100,0)*100)</f>
        <v/>
      </c>
      <c r="AH27" s="38"/>
      <c r="AI27" s="38" t="str">
        <f aca="false">IF(AF27="","",ROUND(AF27*1.05/100,0)*100)</f>
        <v/>
      </c>
      <c r="AJ27" s="38" t="str">
        <f aca="false">IF(OR(AH27="",AF27=""),"",AH27-AF27)</f>
        <v/>
      </c>
      <c r="AK27" s="39" t="str">
        <f aca="false">IF(OR(AF27="",AF27=0),"",AJ27/AF27)</f>
        <v/>
      </c>
      <c r="AL27" s="38" t="str">
        <f aca="false">IF(AJ27="","",AJ27-AM27)</f>
        <v/>
      </c>
      <c r="AM27" s="40" t="str">
        <f aca="false">IF(OR(AH27="",AF27=""),"",ROUND((AH27-AF27)/1.2*0.2,2))</f>
        <v/>
      </c>
      <c r="AN27" s="39" t="str">
        <f aca="false">IF(OR(AF27="",AF27=0),"",AL27/AF27)</f>
        <v/>
      </c>
      <c r="AO27" s="37"/>
      <c r="AP27" s="37"/>
      <c r="AQ27" s="37"/>
      <c r="AR27" s="41" t="str">
        <f aca="true">IF(OR(A27="",P27=""),"",IF(AO27&lt;&gt;"",AO27-P27,TODAY()-P27))</f>
        <v/>
      </c>
      <c r="AS27" s="37"/>
    </row>
    <row r="28" customFormat="false" ht="21.75" hidden="false" customHeight="true" outlineLevel="0" collapsed="false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 t="str">
        <f aca="false">IF(A28="","",SUM(Y28:AE28))</f>
        <v/>
      </c>
      <c r="AG28" s="43" t="str">
        <f aca="false">IF(AF28="","",ROUND(AF28*1.2/100,0)*100)</f>
        <v/>
      </c>
      <c r="AH28" s="43"/>
      <c r="AI28" s="43" t="str">
        <f aca="false">IF(AF28="","",ROUND(AF28*1.05/100,0)*100)</f>
        <v/>
      </c>
      <c r="AJ28" s="43" t="str">
        <f aca="false">IF(OR(AH28="",AF28=""),"",AH28-AF28)</f>
        <v/>
      </c>
      <c r="AK28" s="44" t="str">
        <f aca="false">IF(OR(AF28="",AF28=0),"",AJ28/AF28)</f>
        <v/>
      </c>
      <c r="AL28" s="43" t="str">
        <f aca="false">IF(AJ28="","",AJ28-AM28)</f>
        <v/>
      </c>
      <c r="AM28" s="45" t="str">
        <f aca="false">IF(OR(AH28="",AF28=""),"",ROUND((AH28-AF28)/1.2*0.2,2))</f>
        <v/>
      </c>
      <c r="AN28" s="44" t="str">
        <f aca="false">IF(OR(AF28="",AF28=0),"",AL28/AF28)</f>
        <v/>
      </c>
      <c r="AO28" s="42"/>
      <c r="AP28" s="42"/>
      <c r="AQ28" s="42"/>
      <c r="AR28" s="46" t="str">
        <f aca="true">IF(OR(A28="",P28=""),"",IF(AO28&lt;&gt;"",AO28-P28,TODAY()-P28))</f>
        <v/>
      </c>
      <c r="AS28" s="42"/>
    </row>
    <row r="29" customFormat="false" ht="21.75" hidden="false" customHeight="true" outlineLevel="0" collapsed="false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8" t="str">
        <f aca="false">IF(A29="","",SUM(Y29:AE29))</f>
        <v/>
      </c>
      <c r="AG29" s="38" t="str">
        <f aca="false">IF(AF29="","",ROUND(AF29*1.2/100,0)*100)</f>
        <v/>
      </c>
      <c r="AH29" s="38"/>
      <c r="AI29" s="38" t="str">
        <f aca="false">IF(AF29="","",ROUND(AF29*1.05/100,0)*100)</f>
        <v/>
      </c>
      <c r="AJ29" s="38" t="str">
        <f aca="false">IF(OR(AH29="",AF29=""),"",AH29-AF29)</f>
        <v/>
      </c>
      <c r="AK29" s="39" t="str">
        <f aca="false">IF(OR(AF29="",AF29=0),"",AJ29/AF29)</f>
        <v/>
      </c>
      <c r="AL29" s="38" t="str">
        <f aca="false">IF(AJ29="","",AJ29-AM29)</f>
        <v/>
      </c>
      <c r="AM29" s="40" t="str">
        <f aca="false">IF(OR(AH29="",AF29=""),"",ROUND((AH29-AF29)/1.2*0.2,2))</f>
        <v/>
      </c>
      <c r="AN29" s="39" t="str">
        <f aca="false">IF(OR(AF29="",AF29=0),"",AL29/AF29)</f>
        <v/>
      </c>
      <c r="AO29" s="37"/>
      <c r="AP29" s="37"/>
      <c r="AQ29" s="37"/>
      <c r="AR29" s="41" t="str">
        <f aca="true">IF(OR(A29="",P29=""),"",IF(AO29&lt;&gt;"",AO29-P29,TODAY()-P29))</f>
        <v/>
      </c>
      <c r="AS29" s="37"/>
    </row>
    <row r="30" customFormat="false" ht="21.75" hidden="false" customHeight="true" outlineLevel="0" collapsed="false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 t="str">
        <f aca="false">IF(A30="","",SUM(Y30:AE30))</f>
        <v/>
      </c>
      <c r="AG30" s="43" t="str">
        <f aca="false">IF(AF30="","",ROUND(AF30*1.2/100,0)*100)</f>
        <v/>
      </c>
      <c r="AH30" s="43"/>
      <c r="AI30" s="43" t="str">
        <f aca="false">IF(AF30="","",ROUND(AF30*1.05/100,0)*100)</f>
        <v/>
      </c>
      <c r="AJ30" s="43" t="str">
        <f aca="false">IF(OR(AH30="",AF30=""),"",AH30-AF30)</f>
        <v/>
      </c>
      <c r="AK30" s="44" t="str">
        <f aca="false">IF(OR(AF30="",AF30=0),"",AJ30/AF30)</f>
        <v/>
      </c>
      <c r="AL30" s="43" t="str">
        <f aca="false">IF(AJ30="","",AJ30-AM30)</f>
        <v/>
      </c>
      <c r="AM30" s="45" t="str">
        <f aca="false">IF(OR(AH30="",AF30=""),"",ROUND((AH30-AF30)/1.2*0.2,2))</f>
        <v/>
      </c>
      <c r="AN30" s="44" t="str">
        <f aca="false">IF(OR(AF30="",AF30=0),"",AL30/AF30)</f>
        <v/>
      </c>
      <c r="AO30" s="42"/>
      <c r="AP30" s="42"/>
      <c r="AQ30" s="42"/>
      <c r="AR30" s="46" t="str">
        <f aca="true">IF(OR(A30="",P30=""),"",IF(AO30&lt;&gt;"",AO30-P30,TODAY()-P30))</f>
        <v/>
      </c>
      <c r="AS30" s="42"/>
    </row>
    <row r="31" customFormat="false" ht="21.75" hidden="false" customHeight="true" outlineLevel="0" collapsed="false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8" t="str">
        <f aca="false">IF(A31="","",SUM(Y31:AE31))</f>
        <v/>
      </c>
      <c r="AG31" s="38" t="str">
        <f aca="false">IF(AF31="","",ROUND(AF31*1.2/100,0)*100)</f>
        <v/>
      </c>
      <c r="AH31" s="38"/>
      <c r="AI31" s="38" t="str">
        <f aca="false">IF(AF31="","",ROUND(AF31*1.05/100,0)*100)</f>
        <v/>
      </c>
      <c r="AJ31" s="38" t="str">
        <f aca="false">IF(OR(AH31="",AF31=""),"",AH31-AF31)</f>
        <v/>
      </c>
      <c r="AK31" s="39" t="str">
        <f aca="false">IF(OR(AF31="",AF31=0),"",AJ31/AF31)</f>
        <v/>
      </c>
      <c r="AL31" s="38" t="str">
        <f aca="false">IF(AJ31="","",AJ31-AM31)</f>
        <v/>
      </c>
      <c r="AM31" s="40" t="str">
        <f aca="false">IF(OR(AH31="",AF31=""),"",ROUND((AH31-AF31)/1.2*0.2,2))</f>
        <v/>
      </c>
      <c r="AN31" s="39" t="str">
        <f aca="false">IF(OR(AF31="",AF31=0),"",AL31/AF31)</f>
        <v/>
      </c>
      <c r="AO31" s="37"/>
      <c r="AP31" s="37"/>
      <c r="AQ31" s="37"/>
      <c r="AR31" s="41" t="str">
        <f aca="true">IF(OR(A31="",P31=""),"",IF(AO31&lt;&gt;"",AO31-P31,TODAY()-P31))</f>
        <v/>
      </c>
      <c r="AS31" s="37"/>
    </row>
    <row r="32" customFormat="false" ht="21.75" hidden="false" customHeight="true" outlineLevel="0" collapsed="false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 t="str">
        <f aca="false">IF(A32="","",SUM(Y32:AE32))</f>
        <v/>
      </c>
      <c r="AG32" s="43" t="str">
        <f aca="false">IF(AF32="","",ROUND(AF32*1.2/100,0)*100)</f>
        <v/>
      </c>
      <c r="AH32" s="43"/>
      <c r="AI32" s="43" t="str">
        <f aca="false">IF(AF32="","",ROUND(AF32*1.05/100,0)*100)</f>
        <v/>
      </c>
      <c r="AJ32" s="43" t="str">
        <f aca="false">IF(OR(AH32="",AF32=""),"",AH32-AF32)</f>
        <v/>
      </c>
      <c r="AK32" s="44" t="str">
        <f aca="false">IF(OR(AF32="",AF32=0),"",AJ32/AF32)</f>
        <v/>
      </c>
      <c r="AL32" s="43" t="str">
        <f aca="false">IF(AJ32="","",AJ32-AM32)</f>
        <v/>
      </c>
      <c r="AM32" s="45" t="str">
        <f aca="false">IF(OR(AH32="",AF32=""),"",ROUND((AH32-AF32)/1.2*0.2,2))</f>
        <v/>
      </c>
      <c r="AN32" s="44" t="str">
        <f aca="false">IF(OR(AF32="",AF32=0),"",AL32/AF32)</f>
        <v/>
      </c>
      <c r="AO32" s="42"/>
      <c r="AP32" s="42"/>
      <c r="AQ32" s="42"/>
      <c r="AR32" s="46" t="str">
        <f aca="true">IF(OR(A32="",P32=""),"",IF(AO32&lt;&gt;"",AO32-P32,TODAY()-P32))</f>
        <v/>
      </c>
      <c r="AS32" s="42"/>
    </row>
    <row r="33" customFormat="false" ht="21.75" hidden="false" customHeight="true" outlineLevel="0" collapsed="false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8" t="str">
        <f aca="false">IF(A33="","",SUM(Y33:AE33))</f>
        <v/>
      </c>
      <c r="AG33" s="38" t="str">
        <f aca="false">IF(AF33="","",ROUND(AF33*1.2/100,0)*100)</f>
        <v/>
      </c>
      <c r="AH33" s="38"/>
      <c r="AI33" s="38" t="str">
        <f aca="false">IF(AF33="","",ROUND(AF33*1.05/100,0)*100)</f>
        <v/>
      </c>
      <c r="AJ33" s="38" t="str">
        <f aca="false">IF(OR(AH33="",AF33=""),"",AH33-AF33)</f>
        <v/>
      </c>
      <c r="AK33" s="39" t="str">
        <f aca="false">IF(OR(AF33="",AF33=0),"",AJ33/AF33)</f>
        <v/>
      </c>
      <c r="AL33" s="38" t="str">
        <f aca="false">IF(AJ33="","",AJ33-AM33)</f>
        <v/>
      </c>
      <c r="AM33" s="40" t="str">
        <f aca="false">IF(OR(AH33="",AF33=""),"",ROUND((AH33-AF33)/1.2*0.2,2))</f>
        <v/>
      </c>
      <c r="AN33" s="39" t="str">
        <f aca="false">IF(OR(AF33="",AF33=0),"",AL33/AF33)</f>
        <v/>
      </c>
      <c r="AO33" s="37"/>
      <c r="AP33" s="37"/>
      <c r="AQ33" s="37"/>
      <c r="AR33" s="41" t="str">
        <f aca="true">IF(OR(A33="",P33=""),"",IF(AO33&lt;&gt;"",AO33-P33,TODAY()-P33))</f>
        <v/>
      </c>
      <c r="AS33" s="37"/>
    </row>
    <row r="34" customFormat="false" ht="21.75" hidden="false" customHeight="true" outlineLevel="0" collapsed="false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 t="str">
        <f aca="false">IF(A34="","",SUM(Y34:AE34))</f>
        <v/>
      </c>
      <c r="AG34" s="43" t="str">
        <f aca="false">IF(AF34="","",ROUND(AF34*1.2/100,0)*100)</f>
        <v/>
      </c>
      <c r="AH34" s="43"/>
      <c r="AI34" s="43" t="str">
        <f aca="false">IF(AF34="","",ROUND(AF34*1.05/100,0)*100)</f>
        <v/>
      </c>
      <c r="AJ34" s="43" t="str">
        <f aca="false">IF(OR(AH34="",AF34=""),"",AH34-AF34)</f>
        <v/>
      </c>
      <c r="AK34" s="44" t="str">
        <f aca="false">IF(OR(AF34="",AF34=0),"",AJ34/AF34)</f>
        <v/>
      </c>
      <c r="AL34" s="43" t="str">
        <f aca="false">IF(AJ34="","",AJ34-AM34)</f>
        <v/>
      </c>
      <c r="AM34" s="45" t="str">
        <f aca="false">IF(OR(AH34="",AF34=""),"",ROUND((AH34-AF34)/1.2*0.2,2))</f>
        <v/>
      </c>
      <c r="AN34" s="44" t="str">
        <f aca="false">IF(OR(AF34="",AF34=0),"",AL34/AF34)</f>
        <v/>
      </c>
      <c r="AO34" s="42"/>
      <c r="AP34" s="42"/>
      <c r="AQ34" s="42"/>
      <c r="AR34" s="46" t="str">
        <f aca="true">IF(OR(A34="",P34=""),"",IF(AO34&lt;&gt;"",AO34-P34,TODAY()-P34))</f>
        <v/>
      </c>
      <c r="AS34" s="42"/>
    </row>
    <row r="35" customFormat="false" ht="21.75" hidden="false" customHeight="true" outlineLevel="0" collapsed="false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8" t="str">
        <f aca="false">IF(A35="","",SUM(Y35:AE35))</f>
        <v/>
      </c>
      <c r="AG35" s="38" t="str">
        <f aca="false">IF(AF35="","",ROUND(AF35*1.2/100,0)*100)</f>
        <v/>
      </c>
      <c r="AH35" s="38"/>
      <c r="AI35" s="38" t="str">
        <f aca="false">IF(AF35="","",ROUND(AF35*1.05/100,0)*100)</f>
        <v/>
      </c>
      <c r="AJ35" s="38" t="str">
        <f aca="false">IF(OR(AH35="",AF35=""),"",AH35-AF35)</f>
        <v/>
      </c>
      <c r="AK35" s="39" t="str">
        <f aca="false">IF(OR(AF35="",AF35=0),"",AJ35/AF35)</f>
        <v/>
      </c>
      <c r="AL35" s="38" t="str">
        <f aca="false">IF(AJ35="","",AJ35-AM35)</f>
        <v/>
      </c>
      <c r="AM35" s="40" t="str">
        <f aca="false">IF(OR(AH35="",AF35=""),"",ROUND((AH35-AF35)/1.2*0.2,2))</f>
        <v/>
      </c>
      <c r="AN35" s="39" t="str">
        <f aca="false">IF(OR(AF35="",AF35=0),"",AL35/AF35)</f>
        <v/>
      </c>
      <c r="AO35" s="37"/>
      <c r="AP35" s="37"/>
      <c r="AQ35" s="37"/>
      <c r="AR35" s="41" t="str">
        <f aca="true">IF(OR(A35="",P35=""),"",IF(AO35&lt;&gt;"",AO35-P35,TODAY()-P35))</f>
        <v/>
      </c>
      <c r="AS35" s="37"/>
    </row>
    <row r="36" customFormat="false" ht="21.75" hidden="false" customHeight="true" outlineLevel="0" collapsed="false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 t="str">
        <f aca="false">IF(A36="","",SUM(Y36:AE36))</f>
        <v/>
      </c>
      <c r="AG36" s="43" t="str">
        <f aca="false">IF(AF36="","",ROUND(AF36*1.2/100,0)*100)</f>
        <v/>
      </c>
      <c r="AH36" s="43"/>
      <c r="AI36" s="43" t="str">
        <f aca="false">IF(AF36="","",ROUND(AF36*1.05/100,0)*100)</f>
        <v/>
      </c>
      <c r="AJ36" s="43" t="str">
        <f aca="false">IF(OR(AH36="",AF36=""),"",AH36-AF36)</f>
        <v/>
      </c>
      <c r="AK36" s="44" t="str">
        <f aca="false">IF(OR(AF36="",AF36=0),"",AJ36/AF36)</f>
        <v/>
      </c>
      <c r="AL36" s="43" t="str">
        <f aca="false">IF(AJ36="","",AJ36-AM36)</f>
        <v/>
      </c>
      <c r="AM36" s="45" t="str">
        <f aca="false">IF(OR(AH36="",AF36=""),"",ROUND((AH36-AF36)/1.2*0.2,2))</f>
        <v/>
      </c>
      <c r="AN36" s="44" t="str">
        <f aca="false">IF(OR(AF36="",AF36=0),"",AL36/AF36)</f>
        <v/>
      </c>
      <c r="AO36" s="42"/>
      <c r="AP36" s="42"/>
      <c r="AQ36" s="42"/>
      <c r="AR36" s="46" t="str">
        <f aca="true">IF(OR(A36="",P36=""),"",IF(AO36&lt;&gt;"",AO36-P36,TODAY()-P36))</f>
        <v/>
      </c>
      <c r="AS36" s="42"/>
    </row>
    <row r="37" customFormat="false" ht="21.75" hidden="false" customHeight="true" outlineLevel="0" collapsed="false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8" t="str">
        <f aca="false">IF(A37="","",SUM(Y37:AE37))</f>
        <v/>
      </c>
      <c r="AG37" s="38" t="str">
        <f aca="false">IF(AF37="","",ROUND(AF37*1.2/100,0)*100)</f>
        <v/>
      </c>
      <c r="AH37" s="38"/>
      <c r="AI37" s="38" t="str">
        <f aca="false">IF(AF37="","",ROUND(AF37*1.05/100,0)*100)</f>
        <v/>
      </c>
      <c r="AJ37" s="38" t="str">
        <f aca="false">IF(OR(AH37="",AF37=""),"",AH37-AF37)</f>
        <v/>
      </c>
      <c r="AK37" s="39" t="str">
        <f aca="false">IF(OR(AF37="",AF37=0),"",AJ37/AF37)</f>
        <v/>
      </c>
      <c r="AL37" s="38" t="str">
        <f aca="false">IF(AJ37="","",AJ37-AM37)</f>
        <v/>
      </c>
      <c r="AM37" s="40" t="str">
        <f aca="false">IF(OR(AH37="",AF37=""),"",ROUND((AH37-AF37)/1.2*0.2,2))</f>
        <v/>
      </c>
      <c r="AN37" s="39" t="str">
        <f aca="false">IF(OR(AF37="",AF37=0),"",AL37/AF37)</f>
        <v/>
      </c>
      <c r="AO37" s="37"/>
      <c r="AP37" s="37"/>
      <c r="AQ37" s="37"/>
      <c r="AR37" s="41" t="str">
        <f aca="true">IF(OR(A37="",P37=""),"",IF(AO37&lt;&gt;"",AO37-P37,TODAY()-P37))</f>
        <v/>
      </c>
      <c r="AS37" s="37"/>
    </row>
    <row r="38" customFormat="false" ht="21.75" hidden="false" customHeight="true" outlineLevel="0" collapsed="false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 t="str">
        <f aca="false">IF(A38="","",SUM(Y38:AE38))</f>
        <v/>
      </c>
      <c r="AG38" s="43" t="str">
        <f aca="false">IF(AF38="","",ROUND(AF38*1.2/100,0)*100)</f>
        <v/>
      </c>
      <c r="AH38" s="43"/>
      <c r="AI38" s="43" t="str">
        <f aca="false">IF(AF38="","",ROUND(AF38*1.05/100,0)*100)</f>
        <v/>
      </c>
      <c r="AJ38" s="43" t="str">
        <f aca="false">IF(OR(AH38="",AF38=""),"",AH38-AF38)</f>
        <v/>
      </c>
      <c r="AK38" s="44" t="str">
        <f aca="false">IF(OR(AF38="",AF38=0),"",AJ38/AF38)</f>
        <v/>
      </c>
      <c r="AL38" s="43" t="str">
        <f aca="false">IF(AJ38="","",AJ38-AM38)</f>
        <v/>
      </c>
      <c r="AM38" s="45" t="str">
        <f aca="false">IF(OR(AH38="",AF38=""),"",ROUND((AH38-AF38)/1.2*0.2,2))</f>
        <v/>
      </c>
      <c r="AN38" s="44" t="str">
        <f aca="false">IF(OR(AF38="",AF38=0),"",AL38/AF38)</f>
        <v/>
      </c>
      <c r="AO38" s="42"/>
      <c r="AP38" s="42"/>
      <c r="AQ38" s="42"/>
      <c r="AR38" s="46" t="str">
        <f aca="true">IF(OR(A38="",P38=""),"",IF(AO38&lt;&gt;"",AO38-P38,TODAY()-P38))</f>
        <v/>
      </c>
      <c r="AS38" s="42"/>
    </row>
    <row r="39" customFormat="false" ht="21.75" hidden="false" customHeight="true" outlineLevel="0" collapsed="false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8" t="str">
        <f aca="false">IF(A39="","",SUM(Y39:AE39))</f>
        <v/>
      </c>
      <c r="AG39" s="38" t="str">
        <f aca="false">IF(AF39="","",ROUND(AF39*1.2/100,0)*100)</f>
        <v/>
      </c>
      <c r="AH39" s="38"/>
      <c r="AI39" s="38" t="str">
        <f aca="false">IF(AF39="","",ROUND(AF39*1.05/100,0)*100)</f>
        <v/>
      </c>
      <c r="AJ39" s="38" t="str">
        <f aca="false">IF(OR(AH39="",AF39=""),"",AH39-AF39)</f>
        <v/>
      </c>
      <c r="AK39" s="39" t="str">
        <f aca="false">IF(OR(AF39="",AF39=0),"",AJ39/AF39)</f>
        <v/>
      </c>
      <c r="AL39" s="38" t="str">
        <f aca="false">IF(AJ39="","",AJ39-AM39)</f>
        <v/>
      </c>
      <c r="AM39" s="40" t="str">
        <f aca="false">IF(OR(AH39="",AF39=""),"",ROUND((AH39-AF39)/1.2*0.2,2))</f>
        <v/>
      </c>
      <c r="AN39" s="39" t="str">
        <f aca="false">IF(OR(AF39="",AF39=0),"",AL39/AF39)</f>
        <v/>
      </c>
      <c r="AO39" s="37"/>
      <c r="AP39" s="37"/>
      <c r="AQ39" s="37"/>
      <c r="AR39" s="41" t="str">
        <f aca="true">IF(OR(A39="",P39=""),"",IF(AO39&lt;&gt;"",AO39-P39,TODAY()-P39))</f>
        <v/>
      </c>
      <c r="AS39" s="37"/>
    </row>
    <row r="40" customFormat="false" ht="21.75" hidden="false" customHeight="true" outlineLevel="0" collapsed="false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 t="str">
        <f aca="false">IF(A40="","",SUM(Y40:AE40))</f>
        <v/>
      </c>
      <c r="AG40" s="43" t="str">
        <f aca="false">IF(AF40="","",ROUND(AF40*1.2/100,0)*100)</f>
        <v/>
      </c>
      <c r="AH40" s="43"/>
      <c r="AI40" s="43" t="str">
        <f aca="false">IF(AF40="","",ROUND(AF40*1.05/100,0)*100)</f>
        <v/>
      </c>
      <c r="AJ40" s="43" t="str">
        <f aca="false">IF(OR(AH40="",AF40=""),"",AH40-AF40)</f>
        <v/>
      </c>
      <c r="AK40" s="44" t="str">
        <f aca="false">IF(OR(AF40="",AF40=0),"",AJ40/AF40)</f>
        <v/>
      </c>
      <c r="AL40" s="43" t="str">
        <f aca="false">IF(AJ40="","",AJ40-AM40)</f>
        <v/>
      </c>
      <c r="AM40" s="45" t="str">
        <f aca="false">IF(OR(AH40="",AF40=""),"",ROUND((AH40-AF40)/1.2*0.2,2))</f>
        <v/>
      </c>
      <c r="AN40" s="44" t="str">
        <f aca="false">IF(OR(AF40="",AF40=0),"",AL40/AF40)</f>
        <v/>
      </c>
      <c r="AO40" s="42"/>
      <c r="AP40" s="42"/>
      <c r="AQ40" s="42"/>
      <c r="AR40" s="46" t="str">
        <f aca="true">IF(OR(A40="",P40=""),"",IF(AO40&lt;&gt;"",AO40-P40,TODAY()-P40))</f>
        <v/>
      </c>
      <c r="AS40" s="42"/>
    </row>
    <row r="41" customFormat="false" ht="21.75" hidden="false" customHeight="true" outlineLevel="0" collapsed="false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8" t="str">
        <f aca="false">IF(A41="","",SUM(Y41:AE41))</f>
        <v/>
      </c>
      <c r="AG41" s="38" t="str">
        <f aca="false">IF(AF41="","",ROUND(AF41*1.2/100,0)*100)</f>
        <v/>
      </c>
      <c r="AH41" s="38"/>
      <c r="AI41" s="38" t="str">
        <f aca="false">IF(AF41="","",ROUND(AF41*1.05/100,0)*100)</f>
        <v/>
      </c>
      <c r="AJ41" s="38" t="str">
        <f aca="false">IF(OR(AH41="",AF41=""),"",AH41-AF41)</f>
        <v/>
      </c>
      <c r="AK41" s="39" t="str">
        <f aca="false">IF(OR(AF41="",AF41=0),"",AJ41/AF41)</f>
        <v/>
      </c>
      <c r="AL41" s="38" t="str">
        <f aca="false">IF(AJ41="","",AJ41-AM41)</f>
        <v/>
      </c>
      <c r="AM41" s="40" t="str">
        <f aca="false">IF(OR(AH41="",AF41=""),"",ROUND((AH41-AF41)/1.2*0.2,2))</f>
        <v/>
      </c>
      <c r="AN41" s="39" t="str">
        <f aca="false">IF(OR(AF41="",AF41=0),"",AL41/AF41)</f>
        <v/>
      </c>
      <c r="AO41" s="37"/>
      <c r="AP41" s="37"/>
      <c r="AQ41" s="37"/>
      <c r="AR41" s="41" t="str">
        <f aca="true">IF(OR(A41="",P41=""),"",IF(AO41&lt;&gt;"",AO41-P41,TODAY()-P41))</f>
        <v/>
      </c>
      <c r="AS41" s="37"/>
    </row>
    <row r="42" customFormat="false" ht="21.75" hidden="false" customHeight="true" outlineLevel="0" collapsed="false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 t="str">
        <f aca="false">IF(A42="","",SUM(Y42:AE42))</f>
        <v/>
      </c>
      <c r="AG42" s="43" t="str">
        <f aca="false">IF(AF42="","",ROUND(AF42*1.2/100,0)*100)</f>
        <v/>
      </c>
      <c r="AH42" s="43"/>
      <c r="AI42" s="43" t="str">
        <f aca="false">IF(AF42="","",ROUND(AF42*1.05/100,0)*100)</f>
        <v/>
      </c>
      <c r="AJ42" s="43" t="str">
        <f aca="false">IF(OR(AH42="",AF42=""),"",AH42-AF42)</f>
        <v/>
      </c>
      <c r="AK42" s="44" t="str">
        <f aca="false">IF(OR(AF42="",AF42=0),"",AJ42/AF42)</f>
        <v/>
      </c>
      <c r="AL42" s="43" t="str">
        <f aca="false">IF(AJ42="","",AJ42-AM42)</f>
        <v/>
      </c>
      <c r="AM42" s="45" t="str">
        <f aca="false">IF(OR(AH42="",AF42=""),"",ROUND((AH42-AF42)/1.2*0.2,2))</f>
        <v/>
      </c>
      <c r="AN42" s="44" t="str">
        <f aca="false">IF(OR(AF42="",AF42=0),"",AL42/AF42)</f>
        <v/>
      </c>
      <c r="AO42" s="42"/>
      <c r="AP42" s="42"/>
      <c r="AQ42" s="42"/>
      <c r="AR42" s="46" t="str">
        <f aca="true">IF(OR(A42="",P42=""),"",IF(AO42&lt;&gt;"",AO42-P42,TODAY()-P42))</f>
        <v/>
      </c>
      <c r="AS42" s="42"/>
    </row>
    <row r="43" customFormat="false" ht="21.75" hidden="false" customHeight="true" outlineLevel="0" collapsed="false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8" t="str">
        <f aca="false">IF(A43="","",SUM(Y43:AE43))</f>
        <v/>
      </c>
      <c r="AG43" s="38" t="str">
        <f aca="false">IF(AF43="","",ROUND(AF43*1.2/100,0)*100)</f>
        <v/>
      </c>
      <c r="AH43" s="38"/>
      <c r="AI43" s="38" t="str">
        <f aca="false">IF(AF43="","",ROUND(AF43*1.05/100,0)*100)</f>
        <v/>
      </c>
      <c r="AJ43" s="38" t="str">
        <f aca="false">IF(OR(AH43="",AF43=""),"",AH43-AF43)</f>
        <v/>
      </c>
      <c r="AK43" s="39" t="str">
        <f aca="false">IF(OR(AF43="",AF43=0),"",AJ43/AF43)</f>
        <v/>
      </c>
      <c r="AL43" s="38" t="str">
        <f aca="false">IF(AJ43="","",AJ43-AM43)</f>
        <v/>
      </c>
      <c r="AM43" s="40" t="str">
        <f aca="false">IF(OR(AH43="",AF43=""),"",ROUND((AH43-AF43)/1.2*0.2,2))</f>
        <v/>
      </c>
      <c r="AN43" s="39" t="str">
        <f aca="false">IF(OR(AF43="",AF43=0),"",AL43/AF43)</f>
        <v/>
      </c>
      <c r="AO43" s="37"/>
      <c r="AP43" s="37"/>
      <c r="AQ43" s="37"/>
      <c r="AR43" s="41" t="str">
        <f aca="true">IF(OR(A43="",P43=""),"",IF(AO43&lt;&gt;"",AO43-P43,TODAY()-P43))</f>
        <v/>
      </c>
      <c r="AS43" s="37"/>
    </row>
    <row r="44" customFormat="false" ht="21.75" hidden="false" customHeight="true" outlineLevel="0" collapsed="false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 t="str">
        <f aca="false">IF(A44="","",SUM(Y44:AE44))</f>
        <v/>
      </c>
      <c r="AG44" s="43" t="str">
        <f aca="false">IF(AF44="","",ROUND(AF44*1.2/100,0)*100)</f>
        <v/>
      </c>
      <c r="AH44" s="43"/>
      <c r="AI44" s="43" t="str">
        <f aca="false">IF(AF44="","",ROUND(AF44*1.05/100,0)*100)</f>
        <v/>
      </c>
      <c r="AJ44" s="43" t="str">
        <f aca="false">IF(OR(AH44="",AF44=""),"",AH44-AF44)</f>
        <v/>
      </c>
      <c r="AK44" s="44" t="str">
        <f aca="false">IF(OR(AF44="",AF44=0),"",AJ44/AF44)</f>
        <v/>
      </c>
      <c r="AL44" s="43" t="str">
        <f aca="false">IF(AJ44="","",AJ44-AM44)</f>
        <v/>
      </c>
      <c r="AM44" s="45" t="str">
        <f aca="false">IF(OR(AH44="",AF44=""),"",ROUND((AH44-AF44)/1.2*0.2,2))</f>
        <v/>
      </c>
      <c r="AN44" s="44" t="str">
        <f aca="false">IF(OR(AF44="",AF44=0),"",AL44/AF44)</f>
        <v/>
      </c>
      <c r="AO44" s="42"/>
      <c r="AP44" s="42"/>
      <c r="AQ44" s="42"/>
      <c r="AR44" s="46" t="str">
        <f aca="true">IF(OR(A44="",P44=""),"",IF(AO44&lt;&gt;"",AO44-P44,TODAY()-P44))</f>
        <v/>
      </c>
      <c r="AS44" s="42"/>
    </row>
    <row r="45" customFormat="false" ht="21.75" hidden="false" customHeight="true" outlineLevel="0" collapsed="false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8" t="str">
        <f aca="false">IF(A45="","",SUM(Y45:AE45))</f>
        <v/>
      </c>
      <c r="AG45" s="38" t="str">
        <f aca="false">IF(AF45="","",ROUND(AF45*1.2/100,0)*100)</f>
        <v/>
      </c>
      <c r="AH45" s="38"/>
      <c r="AI45" s="38" t="str">
        <f aca="false">IF(AF45="","",ROUND(AF45*1.05/100,0)*100)</f>
        <v/>
      </c>
      <c r="AJ45" s="38" t="str">
        <f aca="false">IF(OR(AH45="",AF45=""),"",AH45-AF45)</f>
        <v/>
      </c>
      <c r="AK45" s="39" t="str">
        <f aca="false">IF(OR(AF45="",AF45=0),"",AJ45/AF45)</f>
        <v/>
      </c>
      <c r="AL45" s="38" t="str">
        <f aca="false">IF(AJ45="","",AJ45-AM45)</f>
        <v/>
      </c>
      <c r="AM45" s="40" t="str">
        <f aca="false">IF(OR(AH45="",AF45=""),"",ROUND((AH45-AF45)/1.2*0.2,2))</f>
        <v/>
      </c>
      <c r="AN45" s="39" t="str">
        <f aca="false">IF(OR(AF45="",AF45=0),"",AL45/AF45)</f>
        <v/>
      </c>
      <c r="AO45" s="37"/>
      <c r="AP45" s="37"/>
      <c r="AQ45" s="37"/>
      <c r="AR45" s="41" t="str">
        <f aca="true">IF(OR(A45="",P45=""),"",IF(AO45&lt;&gt;"",AO45-P45,TODAY()-P45))</f>
        <v/>
      </c>
      <c r="AS45" s="37"/>
    </row>
    <row r="46" customFormat="false" ht="21.75" hidden="false" customHeight="true" outlineLevel="0" collapsed="false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 t="str">
        <f aca="false">IF(A46="","",SUM(Y46:AE46))</f>
        <v/>
      </c>
      <c r="AG46" s="43" t="str">
        <f aca="false">IF(AF46="","",ROUND(AF46*1.2/100,0)*100)</f>
        <v/>
      </c>
      <c r="AH46" s="43"/>
      <c r="AI46" s="43" t="str">
        <f aca="false">IF(AF46="","",ROUND(AF46*1.05/100,0)*100)</f>
        <v/>
      </c>
      <c r="AJ46" s="43" t="str">
        <f aca="false">IF(OR(AH46="",AF46=""),"",AH46-AF46)</f>
        <v/>
      </c>
      <c r="AK46" s="44" t="str">
        <f aca="false">IF(OR(AF46="",AF46=0),"",AJ46/AF46)</f>
        <v/>
      </c>
      <c r="AL46" s="43" t="str">
        <f aca="false">IF(AJ46="","",AJ46-AM46)</f>
        <v/>
      </c>
      <c r="AM46" s="45" t="str">
        <f aca="false">IF(OR(AH46="",AF46=""),"",ROUND((AH46-AF46)/1.2*0.2,2))</f>
        <v/>
      </c>
      <c r="AN46" s="44" t="str">
        <f aca="false">IF(OR(AF46="",AF46=0),"",AL46/AF46)</f>
        <v/>
      </c>
      <c r="AO46" s="42"/>
      <c r="AP46" s="42"/>
      <c r="AQ46" s="42"/>
      <c r="AR46" s="46" t="str">
        <f aca="true">IF(OR(A46="",P46=""),"",IF(AO46&lt;&gt;"",AO46-P46,TODAY()-P46))</f>
        <v/>
      </c>
      <c r="AS46" s="42"/>
    </row>
    <row r="47" customFormat="false" ht="21.75" hidden="false" customHeight="true" outlineLevel="0" collapsed="false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8" t="str">
        <f aca="false">IF(A47="","",SUM(Y47:AE47))</f>
        <v/>
      </c>
      <c r="AG47" s="38" t="str">
        <f aca="false">IF(AF47="","",ROUND(AF47*1.2/100,0)*100)</f>
        <v/>
      </c>
      <c r="AH47" s="38"/>
      <c r="AI47" s="38" t="str">
        <f aca="false">IF(AF47="","",ROUND(AF47*1.05/100,0)*100)</f>
        <v/>
      </c>
      <c r="AJ47" s="38" t="str">
        <f aca="false">IF(OR(AH47="",AF47=""),"",AH47-AF47)</f>
        <v/>
      </c>
      <c r="AK47" s="39" t="str">
        <f aca="false">IF(OR(AF47="",AF47=0),"",AJ47/AF47)</f>
        <v/>
      </c>
      <c r="AL47" s="38" t="str">
        <f aca="false">IF(AJ47="","",AJ47-AM47)</f>
        <v/>
      </c>
      <c r="AM47" s="40" t="str">
        <f aca="false">IF(OR(AH47="",AF47=""),"",ROUND((AH47-AF47)/1.2*0.2,2))</f>
        <v/>
      </c>
      <c r="AN47" s="39" t="str">
        <f aca="false">IF(OR(AF47="",AF47=0),"",AL47/AF47)</f>
        <v/>
      </c>
      <c r="AO47" s="37"/>
      <c r="AP47" s="37"/>
      <c r="AQ47" s="37"/>
      <c r="AR47" s="41" t="str">
        <f aca="true">IF(OR(A47="",P47=""),"",IF(AO47&lt;&gt;"",AO47-P47,TODAY()-P47))</f>
        <v/>
      </c>
      <c r="AS47" s="37"/>
    </row>
    <row r="48" customFormat="false" ht="21.75" hidden="false" customHeight="true" outlineLevel="0" collapsed="false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 t="str">
        <f aca="false">IF(A48="","",SUM(Y48:AE48))</f>
        <v/>
      </c>
      <c r="AG48" s="43" t="str">
        <f aca="false">IF(AF48="","",ROUND(AF48*1.2/100,0)*100)</f>
        <v/>
      </c>
      <c r="AH48" s="43"/>
      <c r="AI48" s="43" t="str">
        <f aca="false">IF(AF48="","",ROUND(AF48*1.05/100,0)*100)</f>
        <v/>
      </c>
      <c r="AJ48" s="43" t="str">
        <f aca="false">IF(OR(AH48="",AF48=""),"",AH48-AF48)</f>
        <v/>
      </c>
      <c r="AK48" s="44" t="str">
        <f aca="false">IF(OR(AF48="",AF48=0),"",AJ48/AF48)</f>
        <v/>
      </c>
      <c r="AL48" s="43" t="str">
        <f aca="false">IF(AJ48="","",AJ48-AM48)</f>
        <v/>
      </c>
      <c r="AM48" s="45" t="str">
        <f aca="false">IF(OR(AH48="",AF48=""),"",ROUND((AH48-AF48)/1.2*0.2,2))</f>
        <v/>
      </c>
      <c r="AN48" s="44" t="str">
        <f aca="false">IF(OR(AF48="",AF48=0),"",AL48/AF48)</f>
        <v/>
      </c>
      <c r="AO48" s="42"/>
      <c r="AP48" s="42"/>
      <c r="AQ48" s="42"/>
      <c r="AR48" s="46" t="str">
        <f aca="true">IF(OR(A48="",P48=""),"",IF(AO48&lt;&gt;"",AO48-P48,TODAY()-P48))</f>
        <v/>
      </c>
      <c r="AS48" s="42"/>
    </row>
    <row r="49" customFormat="false" ht="21.75" hidden="false" customHeight="true" outlineLevel="0" collapsed="false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8" t="str">
        <f aca="false">IF(A49="","",SUM(Y49:AE49))</f>
        <v/>
      </c>
      <c r="AG49" s="38" t="str">
        <f aca="false">IF(AF49="","",ROUND(AF49*1.2/100,0)*100)</f>
        <v/>
      </c>
      <c r="AH49" s="38"/>
      <c r="AI49" s="38" t="str">
        <f aca="false">IF(AF49="","",ROUND(AF49*1.05/100,0)*100)</f>
        <v/>
      </c>
      <c r="AJ49" s="38" t="str">
        <f aca="false">IF(OR(AH49="",AF49=""),"",AH49-AF49)</f>
        <v/>
      </c>
      <c r="AK49" s="39" t="str">
        <f aca="false">IF(OR(AF49="",AF49=0),"",AJ49/AF49)</f>
        <v/>
      </c>
      <c r="AL49" s="38" t="str">
        <f aca="false">IF(AJ49="","",AJ49-AM49)</f>
        <v/>
      </c>
      <c r="AM49" s="40" t="str">
        <f aca="false">IF(OR(AH49="",AF49=""),"",ROUND((AH49-AF49)/1.2*0.2,2))</f>
        <v/>
      </c>
      <c r="AN49" s="39" t="str">
        <f aca="false">IF(OR(AF49="",AF49=0),"",AL49/AF49)</f>
        <v/>
      </c>
      <c r="AO49" s="37"/>
      <c r="AP49" s="37"/>
      <c r="AQ49" s="37"/>
      <c r="AR49" s="41" t="str">
        <f aca="true">IF(OR(A49="",P49=""),"",IF(AO49&lt;&gt;"",AO49-P49,TODAY()-P49))</f>
        <v/>
      </c>
      <c r="AS49" s="37"/>
    </row>
    <row r="50" customFormat="false" ht="21.75" hidden="false" customHeight="true" outlineLevel="0" collapsed="false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 t="str">
        <f aca="false">IF(A50="","",SUM(Y50:AE50))</f>
        <v/>
      </c>
      <c r="AG50" s="43" t="str">
        <f aca="false">IF(AF50="","",ROUND(AF50*1.2/100,0)*100)</f>
        <v/>
      </c>
      <c r="AH50" s="43"/>
      <c r="AI50" s="43" t="str">
        <f aca="false">IF(AF50="","",ROUND(AF50*1.05/100,0)*100)</f>
        <v/>
      </c>
      <c r="AJ50" s="43" t="str">
        <f aca="false">IF(OR(AH50="",AF50=""),"",AH50-AF50)</f>
        <v/>
      </c>
      <c r="AK50" s="44" t="str">
        <f aca="false">IF(OR(AF50="",AF50=0),"",AJ50/AF50)</f>
        <v/>
      </c>
      <c r="AL50" s="43" t="str">
        <f aca="false">IF(AJ50="","",AJ50-AM50)</f>
        <v/>
      </c>
      <c r="AM50" s="45" t="str">
        <f aca="false">IF(OR(AH50="",AF50=""),"",ROUND((AH50-AF50)/1.2*0.2,2))</f>
        <v/>
      </c>
      <c r="AN50" s="44" t="str">
        <f aca="false">IF(OR(AF50="",AF50=0),"",AL50/AF50)</f>
        <v/>
      </c>
      <c r="AO50" s="42"/>
      <c r="AP50" s="42"/>
      <c r="AQ50" s="42"/>
      <c r="AR50" s="46" t="str">
        <f aca="true">IF(OR(A50="",P50=""),"",IF(AO50&lt;&gt;"",AO50-P50,TODAY()-P50))</f>
        <v/>
      </c>
      <c r="AS50" s="42"/>
    </row>
    <row r="51" customFormat="false" ht="21.75" hidden="false" customHeight="true" outlineLevel="0" collapsed="false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8" t="str">
        <f aca="false">IF(A51="","",SUM(Y51:AE51))</f>
        <v/>
      </c>
      <c r="AG51" s="38" t="str">
        <f aca="false">IF(AF51="","",ROUND(AF51*1.2/100,0)*100)</f>
        <v/>
      </c>
      <c r="AH51" s="38"/>
      <c r="AI51" s="38" t="str">
        <f aca="false">IF(AF51="","",ROUND(AF51*1.05/100,0)*100)</f>
        <v/>
      </c>
      <c r="AJ51" s="38" t="str">
        <f aca="false">IF(OR(AH51="",AF51=""),"",AH51-AF51)</f>
        <v/>
      </c>
      <c r="AK51" s="39" t="str">
        <f aca="false">IF(OR(AF51="",AF51=0),"",AJ51/AF51)</f>
        <v/>
      </c>
      <c r="AL51" s="38" t="str">
        <f aca="false">IF(AJ51="","",AJ51-AM51)</f>
        <v/>
      </c>
      <c r="AM51" s="40" t="str">
        <f aca="false">IF(OR(AH51="",AF51=""),"",ROUND((AH51-AF51)/1.2*0.2,2))</f>
        <v/>
      </c>
      <c r="AN51" s="39" t="str">
        <f aca="false">IF(OR(AF51="",AF51=0),"",AL51/AF51)</f>
        <v/>
      </c>
      <c r="AO51" s="37"/>
      <c r="AP51" s="37"/>
      <c r="AQ51" s="37"/>
      <c r="AR51" s="41" t="str">
        <f aca="true">IF(OR(A51="",P51=""),"",IF(AO51&lt;&gt;"",AO51-P51,TODAY()-P51))</f>
        <v/>
      </c>
      <c r="AS51" s="37"/>
    </row>
    <row r="52" customFormat="false" ht="21.75" hidden="false" customHeight="true" outlineLevel="0" collapsed="false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 t="str">
        <f aca="false">IF(A52="","",SUM(Y52:AE52))</f>
        <v/>
      </c>
      <c r="AG52" s="43" t="str">
        <f aca="false">IF(AF52="","",ROUND(AF52*1.2/100,0)*100)</f>
        <v/>
      </c>
      <c r="AH52" s="43"/>
      <c r="AI52" s="43" t="str">
        <f aca="false">IF(AF52="","",ROUND(AF52*1.05/100,0)*100)</f>
        <v/>
      </c>
      <c r="AJ52" s="43" t="str">
        <f aca="false">IF(OR(AH52="",AF52=""),"",AH52-AF52)</f>
        <v/>
      </c>
      <c r="AK52" s="44" t="str">
        <f aca="false">IF(OR(AF52="",AF52=0),"",AJ52/AF52)</f>
        <v/>
      </c>
      <c r="AL52" s="43" t="str">
        <f aca="false">IF(AJ52="","",AJ52-AM52)</f>
        <v/>
      </c>
      <c r="AM52" s="45" t="str">
        <f aca="false">IF(OR(AH52="",AF52=""),"",ROUND((AH52-AF52)/1.2*0.2,2))</f>
        <v/>
      </c>
      <c r="AN52" s="44" t="str">
        <f aca="false">IF(OR(AF52="",AF52=0),"",AL52/AF52)</f>
        <v/>
      </c>
      <c r="AO52" s="42"/>
      <c r="AP52" s="42"/>
      <c r="AQ52" s="42"/>
      <c r="AR52" s="46" t="str">
        <f aca="true">IF(OR(A52="",P52=""),"",IF(AO52&lt;&gt;"",AO52-P52,TODAY()-P52))</f>
        <v/>
      </c>
      <c r="AS52" s="42"/>
    </row>
    <row r="53" customFormat="false" ht="21.75" hidden="false" customHeight="true" outlineLevel="0" collapsed="false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8" t="str">
        <f aca="false">IF(A53="","",SUM(Y53:AE53))</f>
        <v/>
      </c>
      <c r="AG53" s="38" t="str">
        <f aca="false">IF(AF53="","",ROUND(AF53*1.2/100,0)*100)</f>
        <v/>
      </c>
      <c r="AH53" s="38"/>
      <c r="AI53" s="38" t="str">
        <f aca="false">IF(AF53="","",ROUND(AF53*1.05/100,0)*100)</f>
        <v/>
      </c>
      <c r="AJ53" s="38" t="str">
        <f aca="false">IF(OR(AH53="",AF53=""),"",AH53-AF53)</f>
        <v/>
      </c>
      <c r="AK53" s="39" t="str">
        <f aca="false">IF(OR(AF53="",AF53=0),"",AJ53/AF53)</f>
        <v/>
      </c>
      <c r="AL53" s="38" t="str">
        <f aca="false">IF(AJ53="","",AJ53-AM53)</f>
        <v/>
      </c>
      <c r="AM53" s="40" t="str">
        <f aca="false">IF(OR(AH53="",AF53=""),"",ROUND((AH53-AF53)/1.2*0.2,2))</f>
        <v/>
      </c>
      <c r="AN53" s="39" t="str">
        <f aca="false">IF(OR(AF53="",AF53=0),"",AL53/AF53)</f>
        <v/>
      </c>
      <c r="AO53" s="37"/>
      <c r="AP53" s="37"/>
      <c r="AQ53" s="37"/>
      <c r="AR53" s="41" t="str">
        <f aca="true">IF(OR(A53="",P53=""),"",IF(AO53&lt;&gt;"",AO53-P53,TODAY()-P53))</f>
        <v/>
      </c>
      <c r="AS53" s="37"/>
    </row>
    <row r="54" customFormat="false" ht="21.75" hidden="false" customHeight="true" outlineLevel="0" collapsed="false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3" t="str">
        <f aca="false">IF(A54="","",SUM(Y54:AE54))</f>
        <v/>
      </c>
      <c r="AG54" s="43" t="str">
        <f aca="false">IF(AF54="","",ROUND(AF54*1.2/100,0)*100)</f>
        <v/>
      </c>
      <c r="AH54" s="43"/>
      <c r="AI54" s="43" t="str">
        <f aca="false">IF(AF54="","",ROUND(AF54*1.05/100,0)*100)</f>
        <v/>
      </c>
      <c r="AJ54" s="43" t="str">
        <f aca="false">IF(OR(AH54="",AF54=""),"",AH54-AF54)</f>
        <v/>
      </c>
      <c r="AK54" s="44" t="str">
        <f aca="false">IF(OR(AF54="",AF54=0),"",AJ54/AF54)</f>
        <v/>
      </c>
      <c r="AL54" s="43" t="str">
        <f aca="false">IF(AJ54="","",AJ54-AM54)</f>
        <v/>
      </c>
      <c r="AM54" s="45" t="str">
        <f aca="false">IF(OR(AH54="",AF54=""),"",ROUND((AH54-AF54)/1.2*0.2,2))</f>
        <v/>
      </c>
      <c r="AN54" s="44" t="str">
        <f aca="false">IF(OR(AF54="",AF54=0),"",AL54/AF54)</f>
        <v/>
      </c>
      <c r="AO54" s="42"/>
      <c r="AP54" s="42"/>
      <c r="AQ54" s="42"/>
      <c r="AR54" s="46" t="str">
        <f aca="true">IF(OR(A54="",P54=""),"",IF(AO54&lt;&gt;"",AO54-P54,TODAY()-P54))</f>
        <v/>
      </c>
      <c r="AS54" s="42"/>
    </row>
    <row r="55" customFormat="false" ht="21.75" hidden="false" customHeight="true" outlineLevel="0" collapsed="false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8" t="str">
        <f aca="false">IF(A55="","",SUM(Y55:AE55))</f>
        <v/>
      </c>
      <c r="AG55" s="38" t="str">
        <f aca="false">IF(AF55="","",ROUND(AF55*1.2/100,0)*100)</f>
        <v/>
      </c>
      <c r="AH55" s="38"/>
      <c r="AI55" s="38" t="str">
        <f aca="false">IF(AF55="","",ROUND(AF55*1.05/100,0)*100)</f>
        <v/>
      </c>
      <c r="AJ55" s="38" t="str">
        <f aca="false">IF(OR(AH55="",AF55=""),"",AH55-AF55)</f>
        <v/>
      </c>
      <c r="AK55" s="39" t="str">
        <f aca="false">IF(OR(AF55="",AF55=0),"",AJ55/AF55)</f>
        <v/>
      </c>
      <c r="AL55" s="38" t="str">
        <f aca="false">IF(AJ55="","",AJ55-AM55)</f>
        <v/>
      </c>
      <c r="AM55" s="40" t="str">
        <f aca="false">IF(OR(AH55="",AF55=""),"",ROUND((AH55-AF55)/1.2*0.2,2))</f>
        <v/>
      </c>
      <c r="AN55" s="39" t="str">
        <f aca="false">IF(OR(AF55="",AF55=0),"",AL55/AF55)</f>
        <v/>
      </c>
      <c r="AO55" s="37"/>
      <c r="AP55" s="37"/>
      <c r="AQ55" s="37"/>
      <c r="AR55" s="41" t="str">
        <f aca="true">IF(OR(A55="",P55=""),"",IF(AO55&lt;&gt;"",AO55-P55,TODAY()-P55))</f>
        <v/>
      </c>
      <c r="AS55" s="37"/>
    </row>
    <row r="56" customFormat="false" ht="21.75" hidden="false" customHeight="true" outlineLevel="0" collapsed="false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3" t="str">
        <f aca="false">IF(A56="","",SUM(Y56:AE56))</f>
        <v/>
      </c>
      <c r="AG56" s="43" t="str">
        <f aca="false">IF(AF56="","",ROUND(AF56*1.2/100,0)*100)</f>
        <v/>
      </c>
      <c r="AH56" s="43"/>
      <c r="AI56" s="43" t="str">
        <f aca="false">IF(AF56="","",ROUND(AF56*1.05/100,0)*100)</f>
        <v/>
      </c>
      <c r="AJ56" s="43" t="str">
        <f aca="false">IF(OR(AH56="",AF56=""),"",AH56-AF56)</f>
        <v/>
      </c>
      <c r="AK56" s="44" t="str">
        <f aca="false">IF(OR(AF56="",AF56=0),"",AJ56/AF56)</f>
        <v/>
      </c>
      <c r="AL56" s="43" t="str">
        <f aca="false">IF(AJ56="","",AJ56-AM56)</f>
        <v/>
      </c>
      <c r="AM56" s="45" t="str">
        <f aca="false">IF(OR(AH56="",AF56=""),"",ROUND((AH56-AF56)/1.2*0.2,2))</f>
        <v/>
      </c>
      <c r="AN56" s="44" t="str">
        <f aca="false">IF(OR(AF56="",AF56=0),"",AL56/AF56)</f>
        <v/>
      </c>
      <c r="AO56" s="42"/>
      <c r="AP56" s="42"/>
      <c r="AQ56" s="42"/>
      <c r="AR56" s="46" t="str">
        <f aca="true">IF(OR(A56="",P56=""),"",IF(AO56&lt;&gt;"",AO56-P56,TODAY()-P56))</f>
        <v/>
      </c>
      <c r="AS56" s="42"/>
    </row>
    <row r="57" customFormat="false" ht="21.75" hidden="false" customHeight="true" outlineLevel="0" collapsed="false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8" t="str">
        <f aca="false">IF(A57="","",SUM(Y57:AE57))</f>
        <v/>
      </c>
      <c r="AG57" s="38" t="str">
        <f aca="false">IF(AF57="","",ROUND(AF57*1.2/100,0)*100)</f>
        <v/>
      </c>
      <c r="AH57" s="38"/>
      <c r="AI57" s="38" t="str">
        <f aca="false">IF(AF57="","",ROUND(AF57*1.05/100,0)*100)</f>
        <v/>
      </c>
      <c r="AJ57" s="38" t="str">
        <f aca="false">IF(OR(AH57="",AF57=""),"",AH57-AF57)</f>
        <v/>
      </c>
      <c r="AK57" s="39" t="str">
        <f aca="false">IF(OR(AF57="",AF57=0),"",AJ57/AF57)</f>
        <v/>
      </c>
      <c r="AL57" s="38" t="str">
        <f aca="false">IF(AJ57="","",AJ57-AM57)</f>
        <v/>
      </c>
      <c r="AM57" s="40" t="str">
        <f aca="false">IF(OR(AH57="",AF57=""),"",ROUND((AH57-AF57)/1.2*0.2,2))</f>
        <v/>
      </c>
      <c r="AN57" s="39" t="str">
        <f aca="false">IF(OR(AF57="",AF57=0),"",AL57/AF57)</f>
        <v/>
      </c>
      <c r="AO57" s="37"/>
      <c r="AP57" s="37"/>
      <c r="AQ57" s="37"/>
      <c r="AR57" s="41" t="str">
        <f aca="true">IF(OR(A57="",P57=""),"",IF(AO57&lt;&gt;"",AO57-P57,TODAY()-P57))</f>
        <v/>
      </c>
      <c r="AS57" s="37"/>
    </row>
    <row r="58" customFormat="false" ht="21.75" hidden="false" customHeight="true" outlineLevel="0" collapsed="false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3" t="str">
        <f aca="false">IF(A58="","",SUM(Y58:AE58))</f>
        <v/>
      </c>
      <c r="AG58" s="43" t="str">
        <f aca="false">IF(AF58="","",ROUND(AF58*1.2/100,0)*100)</f>
        <v/>
      </c>
      <c r="AH58" s="43"/>
      <c r="AI58" s="43" t="str">
        <f aca="false">IF(AF58="","",ROUND(AF58*1.05/100,0)*100)</f>
        <v/>
      </c>
      <c r="AJ58" s="43" t="str">
        <f aca="false">IF(OR(AH58="",AF58=""),"",AH58-AF58)</f>
        <v/>
      </c>
      <c r="AK58" s="44" t="str">
        <f aca="false">IF(OR(AF58="",AF58=0),"",AJ58/AF58)</f>
        <v/>
      </c>
      <c r="AL58" s="43" t="str">
        <f aca="false">IF(AJ58="","",AJ58-AM58)</f>
        <v/>
      </c>
      <c r="AM58" s="45" t="str">
        <f aca="false">IF(OR(AH58="",AF58=""),"",ROUND((AH58-AF58)/1.2*0.2,2))</f>
        <v/>
      </c>
      <c r="AN58" s="44" t="str">
        <f aca="false">IF(OR(AF58="",AF58=0),"",AL58/AF58)</f>
        <v/>
      </c>
      <c r="AO58" s="42"/>
      <c r="AP58" s="42"/>
      <c r="AQ58" s="42"/>
      <c r="AR58" s="46" t="str">
        <f aca="true">IF(OR(A58="",P58=""),"",IF(AO58&lt;&gt;"",AO58-P58,TODAY()-P58))</f>
        <v/>
      </c>
      <c r="AS58" s="42"/>
    </row>
    <row r="59" customFormat="false" ht="21.75" hidden="false" customHeight="true" outlineLevel="0" collapsed="false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8" t="str">
        <f aca="false">IF(A59="","",SUM(Y59:AE59))</f>
        <v/>
      </c>
      <c r="AG59" s="38" t="str">
        <f aca="false">IF(AF59="","",ROUND(AF59*1.2/100,0)*100)</f>
        <v/>
      </c>
      <c r="AH59" s="38"/>
      <c r="AI59" s="38" t="str">
        <f aca="false">IF(AF59="","",ROUND(AF59*1.05/100,0)*100)</f>
        <v/>
      </c>
      <c r="AJ59" s="38" t="str">
        <f aca="false">IF(OR(AH59="",AF59=""),"",AH59-AF59)</f>
        <v/>
      </c>
      <c r="AK59" s="39" t="str">
        <f aca="false">IF(OR(AF59="",AF59=0),"",AJ59/AF59)</f>
        <v/>
      </c>
      <c r="AL59" s="38" t="str">
        <f aca="false">IF(AJ59="","",AJ59-AM59)</f>
        <v/>
      </c>
      <c r="AM59" s="40" t="str">
        <f aca="false">IF(OR(AH59="",AF59=""),"",ROUND((AH59-AF59)/1.2*0.2,2))</f>
        <v/>
      </c>
      <c r="AN59" s="39" t="str">
        <f aca="false">IF(OR(AF59="",AF59=0),"",AL59/AF59)</f>
        <v/>
      </c>
      <c r="AO59" s="37"/>
      <c r="AP59" s="37"/>
      <c r="AQ59" s="37"/>
      <c r="AR59" s="41" t="str">
        <f aca="true">IF(OR(A59="",P59=""),"",IF(AO59&lt;&gt;"",AO59-P59,TODAY()-P59))</f>
        <v/>
      </c>
      <c r="AS59" s="37"/>
    </row>
    <row r="60" customFormat="false" ht="21.75" hidden="false" customHeight="true" outlineLevel="0" collapsed="false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3" t="str">
        <f aca="false">IF(A60="","",SUM(Y60:AE60))</f>
        <v/>
      </c>
      <c r="AG60" s="43" t="str">
        <f aca="false">IF(AF60="","",ROUND(AF60*1.2/100,0)*100)</f>
        <v/>
      </c>
      <c r="AH60" s="43"/>
      <c r="AI60" s="43" t="str">
        <f aca="false">IF(AF60="","",ROUND(AF60*1.05/100,0)*100)</f>
        <v/>
      </c>
      <c r="AJ60" s="43" t="str">
        <f aca="false">IF(OR(AH60="",AF60=""),"",AH60-AF60)</f>
        <v/>
      </c>
      <c r="AK60" s="44" t="str">
        <f aca="false">IF(OR(AF60="",AF60=0),"",AJ60/AF60)</f>
        <v/>
      </c>
      <c r="AL60" s="43" t="str">
        <f aca="false">IF(AJ60="","",AJ60-AM60)</f>
        <v/>
      </c>
      <c r="AM60" s="45" t="str">
        <f aca="false">IF(OR(AH60="",AF60=""),"",ROUND((AH60-AF60)/1.2*0.2,2))</f>
        <v/>
      </c>
      <c r="AN60" s="44" t="str">
        <f aca="false">IF(OR(AF60="",AF60=0),"",AL60/AF60)</f>
        <v/>
      </c>
      <c r="AO60" s="42"/>
      <c r="AP60" s="42"/>
      <c r="AQ60" s="42"/>
      <c r="AR60" s="46" t="str">
        <f aca="true">IF(OR(A60="",P60=""),"",IF(AO60&lt;&gt;"",AO60-P60,TODAY()-P60))</f>
        <v/>
      </c>
      <c r="AS60" s="42"/>
    </row>
    <row r="61" customFormat="false" ht="21.75" hidden="false" customHeight="true" outlineLevel="0" collapsed="false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8" t="str">
        <f aca="false">IF(A61="","",SUM(Y61:AE61))</f>
        <v/>
      </c>
      <c r="AG61" s="38" t="str">
        <f aca="false">IF(AF61="","",ROUND(AF61*1.2/100,0)*100)</f>
        <v/>
      </c>
      <c r="AH61" s="38"/>
      <c r="AI61" s="38" t="str">
        <f aca="false">IF(AF61="","",ROUND(AF61*1.05/100,0)*100)</f>
        <v/>
      </c>
      <c r="AJ61" s="38" t="str">
        <f aca="false">IF(OR(AH61="",AF61=""),"",AH61-AF61)</f>
        <v/>
      </c>
      <c r="AK61" s="39" t="str">
        <f aca="false">IF(OR(AF61="",AF61=0),"",AJ61/AF61)</f>
        <v/>
      </c>
      <c r="AL61" s="38" t="str">
        <f aca="false">IF(AJ61="","",AJ61-AM61)</f>
        <v/>
      </c>
      <c r="AM61" s="40" t="str">
        <f aca="false">IF(OR(AH61="",AF61=""),"",ROUND((AH61-AF61)/1.2*0.2,2))</f>
        <v/>
      </c>
      <c r="AN61" s="39" t="str">
        <f aca="false">IF(OR(AF61="",AF61=0),"",AL61/AF61)</f>
        <v/>
      </c>
      <c r="AO61" s="37"/>
      <c r="AP61" s="37"/>
      <c r="AQ61" s="37"/>
      <c r="AR61" s="41" t="str">
        <f aca="true">IF(OR(A61="",P61=""),"",IF(AO61&lt;&gt;"",AO61-P61,TODAY()-P61))</f>
        <v/>
      </c>
      <c r="AS61" s="37"/>
    </row>
    <row r="62" customFormat="false" ht="21.75" hidden="false" customHeight="true" outlineLevel="0" collapsed="false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3" t="str">
        <f aca="false">IF(A62="","",SUM(Y62:AE62))</f>
        <v/>
      </c>
      <c r="AG62" s="43" t="str">
        <f aca="false">IF(AF62="","",ROUND(AF62*1.2/100,0)*100)</f>
        <v/>
      </c>
      <c r="AH62" s="43"/>
      <c r="AI62" s="43" t="str">
        <f aca="false">IF(AF62="","",ROUND(AF62*1.05/100,0)*100)</f>
        <v/>
      </c>
      <c r="AJ62" s="43" t="str">
        <f aca="false">IF(OR(AH62="",AF62=""),"",AH62-AF62)</f>
        <v/>
      </c>
      <c r="AK62" s="44" t="str">
        <f aca="false">IF(OR(AF62="",AF62=0),"",AJ62/AF62)</f>
        <v/>
      </c>
      <c r="AL62" s="43" t="str">
        <f aca="false">IF(AJ62="","",AJ62-AM62)</f>
        <v/>
      </c>
      <c r="AM62" s="45" t="str">
        <f aca="false">IF(OR(AH62="",AF62=""),"",ROUND((AH62-AF62)/1.2*0.2,2))</f>
        <v/>
      </c>
      <c r="AN62" s="44" t="str">
        <f aca="false">IF(OR(AF62="",AF62=0),"",AL62/AF62)</f>
        <v/>
      </c>
      <c r="AO62" s="42"/>
      <c r="AP62" s="42"/>
      <c r="AQ62" s="42"/>
      <c r="AR62" s="46" t="str">
        <f aca="true">IF(OR(A62="",P62=""),"",IF(AO62&lt;&gt;"",AO62-P62,TODAY()-P62))</f>
        <v/>
      </c>
      <c r="AS62" s="42"/>
    </row>
    <row r="63" customFormat="false" ht="21.75" hidden="false" customHeight="true" outlineLevel="0" collapsed="false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8" t="str">
        <f aca="false">IF(A63="","",SUM(Y63:AE63))</f>
        <v/>
      </c>
      <c r="AG63" s="38" t="str">
        <f aca="false">IF(AF63="","",ROUND(AF63*1.2/100,0)*100)</f>
        <v/>
      </c>
      <c r="AH63" s="38"/>
      <c r="AI63" s="38" t="str">
        <f aca="false">IF(AF63="","",ROUND(AF63*1.05/100,0)*100)</f>
        <v/>
      </c>
      <c r="AJ63" s="38" t="str">
        <f aca="false">IF(OR(AH63="",AF63=""),"",AH63-AF63)</f>
        <v/>
      </c>
      <c r="AK63" s="39" t="str">
        <f aca="false">IF(OR(AF63="",AF63=0),"",AJ63/AF63)</f>
        <v/>
      </c>
      <c r="AL63" s="38" t="str">
        <f aca="false">IF(AJ63="","",AJ63-AM63)</f>
        <v/>
      </c>
      <c r="AM63" s="40" t="str">
        <f aca="false">IF(OR(AH63="",AF63=""),"",ROUND((AH63-AF63)/1.2*0.2,2))</f>
        <v/>
      </c>
      <c r="AN63" s="39" t="str">
        <f aca="false">IF(OR(AF63="",AF63=0),"",AL63/AF63)</f>
        <v/>
      </c>
      <c r="AO63" s="37"/>
      <c r="AP63" s="37"/>
      <c r="AQ63" s="37"/>
      <c r="AR63" s="41" t="str">
        <f aca="true">IF(OR(A63="",P63=""),"",IF(AO63&lt;&gt;"",AO63-P63,TODAY()-P63))</f>
        <v/>
      </c>
      <c r="AS63" s="37"/>
    </row>
    <row r="64" customFormat="false" ht="21.75" hidden="false" customHeight="true" outlineLevel="0" collapsed="false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3" t="str">
        <f aca="false">IF(A64="","",SUM(Y64:AE64))</f>
        <v/>
      </c>
      <c r="AG64" s="43" t="str">
        <f aca="false">IF(AF64="","",ROUND(AF64*1.2/100,0)*100)</f>
        <v/>
      </c>
      <c r="AH64" s="43"/>
      <c r="AI64" s="43" t="str">
        <f aca="false">IF(AF64="","",ROUND(AF64*1.05/100,0)*100)</f>
        <v/>
      </c>
      <c r="AJ64" s="43" t="str">
        <f aca="false">IF(OR(AH64="",AF64=""),"",AH64-AF64)</f>
        <v/>
      </c>
      <c r="AK64" s="44" t="str">
        <f aca="false">IF(OR(AF64="",AF64=0),"",AJ64/AF64)</f>
        <v/>
      </c>
      <c r="AL64" s="43" t="str">
        <f aca="false">IF(AJ64="","",AJ64-AM64)</f>
        <v/>
      </c>
      <c r="AM64" s="45" t="str">
        <f aca="false">IF(OR(AH64="",AF64=""),"",ROUND((AH64-AF64)/1.2*0.2,2))</f>
        <v/>
      </c>
      <c r="AN64" s="44" t="str">
        <f aca="false">IF(OR(AF64="",AF64=0),"",AL64/AF64)</f>
        <v/>
      </c>
      <c r="AO64" s="42"/>
      <c r="AP64" s="42"/>
      <c r="AQ64" s="42"/>
      <c r="AR64" s="46" t="str">
        <f aca="true">IF(OR(A64="",P64=""),"",IF(AO64&lt;&gt;"",AO64-P64,TODAY()-P64))</f>
        <v/>
      </c>
      <c r="AS64" s="42"/>
    </row>
    <row r="65" customFormat="false" ht="21.75" hidden="false" customHeight="true" outlineLevel="0" collapsed="false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8" t="str">
        <f aca="false">IF(A65="","",SUM(Y65:AE65))</f>
        <v/>
      </c>
      <c r="AG65" s="38" t="str">
        <f aca="false">IF(AF65="","",ROUND(AF65*1.2/100,0)*100)</f>
        <v/>
      </c>
      <c r="AH65" s="38"/>
      <c r="AI65" s="38" t="str">
        <f aca="false">IF(AF65="","",ROUND(AF65*1.05/100,0)*100)</f>
        <v/>
      </c>
      <c r="AJ65" s="38" t="str">
        <f aca="false">IF(OR(AH65="",AF65=""),"",AH65-AF65)</f>
        <v/>
      </c>
      <c r="AK65" s="39" t="str">
        <f aca="false">IF(OR(AF65="",AF65=0),"",AJ65/AF65)</f>
        <v/>
      </c>
      <c r="AL65" s="38" t="str">
        <f aca="false">IF(AJ65="","",AJ65-AM65)</f>
        <v/>
      </c>
      <c r="AM65" s="40" t="str">
        <f aca="false">IF(OR(AH65="",AF65=""),"",ROUND((AH65-AF65)/1.2*0.2,2))</f>
        <v/>
      </c>
      <c r="AN65" s="39" t="str">
        <f aca="false">IF(OR(AF65="",AF65=0),"",AL65/AF65)</f>
        <v/>
      </c>
      <c r="AO65" s="37"/>
      <c r="AP65" s="37"/>
      <c r="AQ65" s="37"/>
      <c r="AR65" s="41" t="str">
        <f aca="true">IF(OR(A65="",P65=""),"",IF(AO65&lt;&gt;"",AO65-P65,TODAY()-P65))</f>
        <v/>
      </c>
      <c r="AS65" s="37"/>
    </row>
    <row r="66" customFormat="false" ht="21.75" hidden="false" customHeight="true" outlineLevel="0" collapsed="false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3" t="str">
        <f aca="false">IF(A66="","",SUM(Y66:AE66))</f>
        <v/>
      </c>
      <c r="AG66" s="43" t="str">
        <f aca="false">IF(AF66="","",ROUND(AF66*1.2/100,0)*100)</f>
        <v/>
      </c>
      <c r="AH66" s="43"/>
      <c r="AI66" s="43" t="str">
        <f aca="false">IF(AF66="","",ROUND(AF66*1.05/100,0)*100)</f>
        <v/>
      </c>
      <c r="AJ66" s="43" t="str">
        <f aca="false">IF(OR(AH66="",AF66=""),"",AH66-AF66)</f>
        <v/>
      </c>
      <c r="AK66" s="44" t="str">
        <f aca="false">IF(OR(AF66="",AF66=0),"",AJ66/AF66)</f>
        <v/>
      </c>
      <c r="AL66" s="43" t="str">
        <f aca="false">IF(AJ66="","",AJ66-AM66)</f>
        <v/>
      </c>
      <c r="AM66" s="45" t="str">
        <f aca="false">IF(OR(AH66="",AF66=""),"",ROUND((AH66-AF66)/1.2*0.2,2))</f>
        <v/>
      </c>
      <c r="AN66" s="44" t="str">
        <f aca="false">IF(OR(AF66="",AF66=0),"",AL66/AF66)</f>
        <v/>
      </c>
      <c r="AO66" s="42"/>
      <c r="AP66" s="42"/>
      <c r="AQ66" s="42"/>
      <c r="AR66" s="46" t="str">
        <f aca="true">IF(OR(A66="",P66=""),"",IF(AO66&lt;&gt;"",AO66-P66,TODAY()-P66))</f>
        <v/>
      </c>
      <c r="AS66" s="42"/>
    </row>
    <row r="67" customFormat="false" ht="21.75" hidden="false" customHeight="true" outlineLevel="0" collapsed="false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8" t="str">
        <f aca="false">IF(A67="","",SUM(Y67:AE67))</f>
        <v/>
      </c>
      <c r="AG67" s="38" t="str">
        <f aca="false">IF(AF67="","",ROUND(AF67*1.2/100,0)*100)</f>
        <v/>
      </c>
      <c r="AH67" s="38"/>
      <c r="AI67" s="38" t="str">
        <f aca="false">IF(AF67="","",ROUND(AF67*1.05/100,0)*100)</f>
        <v/>
      </c>
      <c r="AJ67" s="38" t="str">
        <f aca="false">IF(OR(AH67="",AF67=""),"",AH67-AF67)</f>
        <v/>
      </c>
      <c r="AK67" s="39" t="str">
        <f aca="false">IF(OR(AF67="",AF67=0),"",AJ67/AF67)</f>
        <v/>
      </c>
      <c r="AL67" s="38" t="str">
        <f aca="false">IF(AJ67="","",AJ67-AM67)</f>
        <v/>
      </c>
      <c r="AM67" s="40" t="str">
        <f aca="false">IF(OR(AH67="",AF67=""),"",ROUND((AH67-AF67)/1.2*0.2,2))</f>
        <v/>
      </c>
      <c r="AN67" s="39" t="str">
        <f aca="false">IF(OR(AF67="",AF67=0),"",AL67/AF67)</f>
        <v/>
      </c>
      <c r="AO67" s="37"/>
      <c r="AP67" s="37"/>
      <c r="AQ67" s="37"/>
      <c r="AR67" s="41" t="str">
        <f aca="true">IF(OR(A67="",P67=""),"",IF(AO67&lt;&gt;"",AO67-P67,TODAY()-P67))</f>
        <v/>
      </c>
      <c r="AS67" s="37"/>
    </row>
    <row r="68" customFormat="false" ht="21.75" hidden="false" customHeight="true" outlineLevel="0" collapsed="false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3" t="str">
        <f aca="false">IF(A68="","",SUM(Y68:AE68))</f>
        <v/>
      </c>
      <c r="AG68" s="43" t="str">
        <f aca="false">IF(AF68="","",ROUND(AF68*1.2/100,0)*100)</f>
        <v/>
      </c>
      <c r="AH68" s="43"/>
      <c r="AI68" s="43" t="str">
        <f aca="false">IF(AF68="","",ROUND(AF68*1.05/100,0)*100)</f>
        <v/>
      </c>
      <c r="AJ68" s="43" t="str">
        <f aca="false">IF(OR(AH68="",AF68=""),"",AH68-AF68)</f>
        <v/>
      </c>
      <c r="AK68" s="44" t="str">
        <f aca="false">IF(OR(AF68="",AF68=0),"",AJ68/AF68)</f>
        <v/>
      </c>
      <c r="AL68" s="43" t="str">
        <f aca="false">IF(AJ68="","",AJ68-AM68)</f>
        <v/>
      </c>
      <c r="AM68" s="45" t="str">
        <f aca="false">IF(OR(AH68="",AF68=""),"",ROUND((AH68-AF68)/1.2*0.2,2))</f>
        <v/>
      </c>
      <c r="AN68" s="44" t="str">
        <f aca="false">IF(OR(AF68="",AF68=0),"",AL68/AF68)</f>
        <v/>
      </c>
      <c r="AO68" s="42"/>
      <c r="AP68" s="42"/>
      <c r="AQ68" s="42"/>
      <c r="AR68" s="46" t="str">
        <f aca="true">IF(OR(A68="",P68=""),"",IF(AO68&lt;&gt;"",AO68-P68,TODAY()-P68))</f>
        <v/>
      </c>
      <c r="AS68" s="42"/>
    </row>
    <row r="69" customFormat="false" ht="21.75" hidden="false" customHeight="true" outlineLevel="0" collapsed="false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8" t="str">
        <f aca="false">IF(A69="","",SUM(Y69:AE69))</f>
        <v/>
      </c>
      <c r="AG69" s="38" t="str">
        <f aca="false">IF(AF69="","",ROUND(AF69*1.2/100,0)*100)</f>
        <v/>
      </c>
      <c r="AH69" s="38"/>
      <c r="AI69" s="38" t="str">
        <f aca="false">IF(AF69="","",ROUND(AF69*1.05/100,0)*100)</f>
        <v/>
      </c>
      <c r="AJ69" s="38" t="str">
        <f aca="false">IF(OR(AH69="",AF69=""),"",AH69-AF69)</f>
        <v/>
      </c>
      <c r="AK69" s="39" t="str">
        <f aca="false">IF(OR(AF69="",AF69=0),"",AJ69/AF69)</f>
        <v/>
      </c>
      <c r="AL69" s="38" t="str">
        <f aca="false">IF(AJ69="","",AJ69-AM69)</f>
        <v/>
      </c>
      <c r="AM69" s="40" t="str">
        <f aca="false">IF(OR(AH69="",AF69=""),"",ROUND((AH69-AF69)/1.2*0.2,2))</f>
        <v/>
      </c>
      <c r="AN69" s="39" t="str">
        <f aca="false">IF(OR(AF69="",AF69=0),"",AL69/AF69)</f>
        <v/>
      </c>
      <c r="AO69" s="37"/>
      <c r="AP69" s="37"/>
      <c r="AQ69" s="37"/>
      <c r="AR69" s="41" t="str">
        <f aca="true">IF(OR(A69="",P69=""),"",IF(AO69&lt;&gt;"",AO69-P69,TODAY()-P69))</f>
        <v/>
      </c>
      <c r="AS69" s="37"/>
    </row>
    <row r="70" customFormat="false" ht="21.75" hidden="false" customHeight="true" outlineLevel="0" collapsed="false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3" t="str">
        <f aca="false">IF(A70="","",SUM(Y70:AE70))</f>
        <v/>
      </c>
      <c r="AG70" s="43" t="str">
        <f aca="false">IF(AF70="","",ROUND(AF70*1.2/100,0)*100)</f>
        <v/>
      </c>
      <c r="AH70" s="43"/>
      <c r="AI70" s="43" t="str">
        <f aca="false">IF(AF70="","",ROUND(AF70*1.05/100,0)*100)</f>
        <v/>
      </c>
      <c r="AJ70" s="43" t="str">
        <f aca="false">IF(OR(AH70="",AF70=""),"",AH70-AF70)</f>
        <v/>
      </c>
      <c r="AK70" s="44" t="str">
        <f aca="false">IF(OR(AF70="",AF70=0),"",AJ70/AF70)</f>
        <v/>
      </c>
      <c r="AL70" s="43" t="str">
        <f aca="false">IF(AJ70="","",AJ70-AM70)</f>
        <v/>
      </c>
      <c r="AM70" s="45" t="str">
        <f aca="false">IF(OR(AH70="",AF70=""),"",ROUND((AH70-AF70)/1.2*0.2,2))</f>
        <v/>
      </c>
      <c r="AN70" s="44" t="str">
        <f aca="false">IF(OR(AF70="",AF70=0),"",AL70/AF70)</f>
        <v/>
      </c>
      <c r="AO70" s="42"/>
      <c r="AP70" s="42"/>
      <c r="AQ70" s="42"/>
      <c r="AR70" s="46" t="str">
        <f aca="true">IF(OR(A70="",P70=""),"",IF(AO70&lt;&gt;"",AO70-P70,TODAY()-P70))</f>
        <v/>
      </c>
      <c r="AS70" s="42"/>
    </row>
    <row r="71" customFormat="false" ht="21.75" hidden="false" customHeight="true" outlineLevel="0" collapsed="false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8" t="str">
        <f aca="false">IF(A71="","",SUM(Y71:AE71))</f>
        <v/>
      </c>
      <c r="AG71" s="38" t="str">
        <f aca="false">IF(AF71="","",ROUND(AF71*1.2/100,0)*100)</f>
        <v/>
      </c>
      <c r="AH71" s="38"/>
      <c r="AI71" s="38" t="str">
        <f aca="false">IF(AF71="","",ROUND(AF71*1.05/100,0)*100)</f>
        <v/>
      </c>
      <c r="AJ71" s="38" t="str">
        <f aca="false">IF(OR(AH71="",AF71=""),"",AH71-AF71)</f>
        <v/>
      </c>
      <c r="AK71" s="39" t="str">
        <f aca="false">IF(OR(AF71="",AF71=0),"",AJ71/AF71)</f>
        <v/>
      </c>
      <c r="AL71" s="38" t="str">
        <f aca="false">IF(AJ71="","",AJ71-AM71)</f>
        <v/>
      </c>
      <c r="AM71" s="40" t="str">
        <f aca="false">IF(OR(AH71="",AF71=""),"",ROUND((AH71-AF71)/1.2*0.2,2))</f>
        <v/>
      </c>
      <c r="AN71" s="39" t="str">
        <f aca="false">IF(OR(AF71="",AF71=0),"",AL71/AF71)</f>
        <v/>
      </c>
      <c r="AO71" s="37"/>
      <c r="AP71" s="37"/>
      <c r="AQ71" s="37"/>
      <c r="AR71" s="41" t="str">
        <f aca="true">IF(OR(A71="",P71=""),"",IF(AO71&lt;&gt;"",AO71-P71,TODAY()-P71))</f>
        <v/>
      </c>
      <c r="AS71" s="37"/>
    </row>
    <row r="72" customFormat="false" ht="21.75" hidden="false" customHeight="true" outlineLevel="0" collapsed="false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3" t="str">
        <f aca="false">IF(A72="","",SUM(Y72:AE72))</f>
        <v/>
      </c>
      <c r="AG72" s="43" t="str">
        <f aca="false">IF(AF72="","",ROUND(AF72*1.2/100,0)*100)</f>
        <v/>
      </c>
      <c r="AH72" s="43"/>
      <c r="AI72" s="43" t="str">
        <f aca="false">IF(AF72="","",ROUND(AF72*1.05/100,0)*100)</f>
        <v/>
      </c>
      <c r="AJ72" s="43" t="str">
        <f aca="false">IF(OR(AH72="",AF72=""),"",AH72-AF72)</f>
        <v/>
      </c>
      <c r="AK72" s="44" t="str">
        <f aca="false">IF(OR(AF72="",AF72=0),"",AJ72/AF72)</f>
        <v/>
      </c>
      <c r="AL72" s="43" t="str">
        <f aca="false">IF(AJ72="","",AJ72-AM72)</f>
        <v/>
      </c>
      <c r="AM72" s="45" t="str">
        <f aca="false">IF(OR(AH72="",AF72=""),"",ROUND((AH72-AF72)/1.2*0.2,2))</f>
        <v/>
      </c>
      <c r="AN72" s="44" t="str">
        <f aca="false">IF(OR(AF72="",AF72=0),"",AL72/AF72)</f>
        <v/>
      </c>
      <c r="AO72" s="42"/>
      <c r="AP72" s="42"/>
      <c r="AQ72" s="42"/>
      <c r="AR72" s="46" t="str">
        <f aca="true">IF(OR(A72="",P72=""),"",IF(AO72&lt;&gt;"",AO72-P72,TODAY()-P72))</f>
        <v/>
      </c>
      <c r="AS72" s="42"/>
    </row>
    <row r="73" customFormat="false" ht="21.75" hidden="false" customHeight="true" outlineLevel="0" collapsed="false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8" t="str">
        <f aca="false">IF(A73="","",SUM(Y73:AE73))</f>
        <v/>
      </c>
      <c r="AG73" s="38" t="str">
        <f aca="false">IF(AF73="","",ROUND(AF73*1.2/100,0)*100)</f>
        <v/>
      </c>
      <c r="AH73" s="38"/>
      <c r="AI73" s="38" t="str">
        <f aca="false">IF(AF73="","",ROUND(AF73*1.05/100,0)*100)</f>
        <v/>
      </c>
      <c r="AJ73" s="38" t="str">
        <f aca="false">IF(OR(AH73="",AF73=""),"",AH73-AF73)</f>
        <v/>
      </c>
      <c r="AK73" s="39" t="str">
        <f aca="false">IF(OR(AF73="",AF73=0),"",AJ73/AF73)</f>
        <v/>
      </c>
      <c r="AL73" s="38" t="str">
        <f aca="false">IF(AJ73="","",AJ73-AM73)</f>
        <v/>
      </c>
      <c r="AM73" s="40" t="str">
        <f aca="false">IF(OR(AH73="",AF73=""),"",ROUND((AH73-AF73)/1.2*0.2,2))</f>
        <v/>
      </c>
      <c r="AN73" s="39" t="str">
        <f aca="false">IF(OR(AF73="",AF73=0),"",AL73/AF73)</f>
        <v/>
      </c>
      <c r="AO73" s="37"/>
      <c r="AP73" s="37"/>
      <c r="AQ73" s="37"/>
      <c r="AR73" s="41" t="str">
        <f aca="true">IF(OR(A73="",P73=""),"",IF(AO73&lt;&gt;"",AO73-P73,TODAY()-P73))</f>
        <v/>
      </c>
      <c r="AS73" s="37"/>
    </row>
    <row r="74" customFormat="false" ht="21.75" hidden="false" customHeight="true" outlineLevel="0" collapsed="false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3" t="str">
        <f aca="false">IF(A74="","",SUM(Y74:AE74))</f>
        <v/>
      </c>
      <c r="AG74" s="43" t="str">
        <f aca="false">IF(AF74="","",ROUND(AF74*1.2/100,0)*100)</f>
        <v/>
      </c>
      <c r="AH74" s="43"/>
      <c r="AI74" s="43" t="str">
        <f aca="false">IF(AF74="","",ROUND(AF74*1.05/100,0)*100)</f>
        <v/>
      </c>
      <c r="AJ74" s="43" t="str">
        <f aca="false">IF(OR(AH74="",AF74=""),"",AH74-AF74)</f>
        <v/>
      </c>
      <c r="AK74" s="44" t="str">
        <f aca="false">IF(OR(AF74="",AF74=0),"",AJ74/AF74)</f>
        <v/>
      </c>
      <c r="AL74" s="43" t="str">
        <f aca="false">IF(AJ74="","",AJ74-AM74)</f>
        <v/>
      </c>
      <c r="AM74" s="45" t="str">
        <f aca="false">IF(OR(AH74="",AF74=""),"",ROUND((AH74-AF74)/1.2*0.2,2))</f>
        <v/>
      </c>
      <c r="AN74" s="44" t="str">
        <f aca="false">IF(OR(AF74="",AF74=0),"",AL74/AF74)</f>
        <v/>
      </c>
      <c r="AO74" s="42"/>
      <c r="AP74" s="42"/>
      <c r="AQ74" s="42"/>
      <c r="AR74" s="46" t="str">
        <f aca="true">IF(OR(A74="",P74=""),"",IF(AO74&lt;&gt;"",AO74-P74,TODAY()-P74))</f>
        <v/>
      </c>
      <c r="AS74" s="42"/>
    </row>
    <row r="75" customFormat="false" ht="21.75" hidden="false" customHeight="true" outlineLevel="0" collapsed="false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8" t="str">
        <f aca="false">IF(A75="","",SUM(Y75:AE75))</f>
        <v/>
      </c>
      <c r="AG75" s="38" t="str">
        <f aca="false">IF(AF75="","",ROUND(AF75*1.2/100,0)*100)</f>
        <v/>
      </c>
      <c r="AH75" s="38"/>
      <c r="AI75" s="38" t="str">
        <f aca="false">IF(AF75="","",ROUND(AF75*1.05/100,0)*100)</f>
        <v/>
      </c>
      <c r="AJ75" s="38" t="str">
        <f aca="false">IF(OR(AH75="",AF75=""),"",AH75-AF75)</f>
        <v/>
      </c>
      <c r="AK75" s="39" t="str">
        <f aca="false">IF(OR(AF75="",AF75=0),"",AJ75/AF75)</f>
        <v/>
      </c>
      <c r="AL75" s="38" t="str">
        <f aca="false">IF(AJ75="","",AJ75-AM75)</f>
        <v/>
      </c>
      <c r="AM75" s="40" t="str">
        <f aca="false">IF(OR(AH75="",AF75=""),"",ROUND((AH75-AF75)/1.2*0.2,2))</f>
        <v/>
      </c>
      <c r="AN75" s="39" t="str">
        <f aca="false">IF(OR(AF75="",AF75=0),"",AL75/AF75)</f>
        <v/>
      </c>
      <c r="AO75" s="37"/>
      <c r="AP75" s="37"/>
      <c r="AQ75" s="37"/>
      <c r="AR75" s="41" t="str">
        <f aca="true">IF(OR(A75="",P75=""),"",IF(AO75&lt;&gt;"",AO75-P75,TODAY()-P75))</f>
        <v/>
      </c>
      <c r="AS75" s="37"/>
    </row>
    <row r="76" customFormat="false" ht="21.75" hidden="false" customHeight="true" outlineLevel="0" collapsed="false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3" t="str">
        <f aca="false">IF(A76="","",SUM(Y76:AE76))</f>
        <v/>
      </c>
      <c r="AG76" s="43" t="str">
        <f aca="false">IF(AF76="","",ROUND(AF76*1.2/100,0)*100)</f>
        <v/>
      </c>
      <c r="AH76" s="43"/>
      <c r="AI76" s="43" t="str">
        <f aca="false">IF(AF76="","",ROUND(AF76*1.05/100,0)*100)</f>
        <v/>
      </c>
      <c r="AJ76" s="43" t="str">
        <f aca="false">IF(OR(AH76="",AF76=""),"",AH76-AF76)</f>
        <v/>
      </c>
      <c r="AK76" s="44" t="str">
        <f aca="false">IF(OR(AF76="",AF76=0),"",AJ76/AF76)</f>
        <v/>
      </c>
      <c r="AL76" s="43" t="str">
        <f aca="false">IF(AJ76="","",AJ76-AM76)</f>
        <v/>
      </c>
      <c r="AM76" s="45" t="str">
        <f aca="false">IF(OR(AH76="",AF76=""),"",ROUND((AH76-AF76)/1.2*0.2,2))</f>
        <v/>
      </c>
      <c r="AN76" s="44" t="str">
        <f aca="false">IF(OR(AF76="",AF76=0),"",AL76/AF76)</f>
        <v/>
      </c>
      <c r="AO76" s="42"/>
      <c r="AP76" s="42"/>
      <c r="AQ76" s="42"/>
      <c r="AR76" s="46" t="str">
        <f aca="true">IF(OR(A76="",P76=""),"",IF(AO76&lt;&gt;"",AO76-P76,TODAY()-P76))</f>
        <v/>
      </c>
      <c r="AS76" s="42"/>
    </row>
    <row r="77" customFormat="false" ht="21.75" hidden="false" customHeight="true" outlineLevel="0" collapsed="false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8" t="str">
        <f aca="false">IF(A77="","",SUM(Y77:AE77))</f>
        <v/>
      </c>
      <c r="AG77" s="38" t="str">
        <f aca="false">IF(AF77="","",ROUND(AF77*1.2/100,0)*100)</f>
        <v/>
      </c>
      <c r="AH77" s="38"/>
      <c r="AI77" s="38" t="str">
        <f aca="false">IF(AF77="","",ROUND(AF77*1.05/100,0)*100)</f>
        <v/>
      </c>
      <c r="AJ77" s="38" t="str">
        <f aca="false">IF(OR(AH77="",AF77=""),"",AH77-AF77)</f>
        <v/>
      </c>
      <c r="AK77" s="39" t="str">
        <f aca="false">IF(OR(AF77="",AF77=0),"",AJ77/AF77)</f>
        <v/>
      </c>
      <c r="AL77" s="38" t="str">
        <f aca="false">IF(AJ77="","",AJ77-AM77)</f>
        <v/>
      </c>
      <c r="AM77" s="40" t="str">
        <f aca="false">IF(OR(AH77="",AF77=""),"",ROUND((AH77-AF77)/1.2*0.2,2))</f>
        <v/>
      </c>
      <c r="AN77" s="39" t="str">
        <f aca="false">IF(OR(AF77="",AF77=0),"",AL77/AF77)</f>
        <v/>
      </c>
      <c r="AO77" s="37"/>
      <c r="AP77" s="37"/>
      <c r="AQ77" s="37"/>
      <c r="AR77" s="41" t="str">
        <f aca="true">IF(OR(A77="",P77=""),"",IF(AO77&lt;&gt;"",AO77-P77,TODAY()-P77))</f>
        <v/>
      </c>
      <c r="AS77" s="37"/>
    </row>
    <row r="78" customFormat="false" ht="21.75" hidden="false" customHeight="true" outlineLevel="0" collapsed="false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3" t="str">
        <f aca="false">IF(A78="","",SUM(Y78:AE78))</f>
        <v/>
      </c>
      <c r="AG78" s="43" t="str">
        <f aca="false">IF(AF78="","",ROUND(AF78*1.2/100,0)*100)</f>
        <v/>
      </c>
      <c r="AH78" s="43"/>
      <c r="AI78" s="43" t="str">
        <f aca="false">IF(AF78="","",ROUND(AF78*1.05/100,0)*100)</f>
        <v/>
      </c>
      <c r="AJ78" s="43" t="str">
        <f aca="false">IF(OR(AH78="",AF78=""),"",AH78-AF78)</f>
        <v/>
      </c>
      <c r="AK78" s="44" t="str">
        <f aca="false">IF(OR(AF78="",AF78=0),"",AJ78/AF78)</f>
        <v/>
      </c>
      <c r="AL78" s="43" t="str">
        <f aca="false">IF(AJ78="","",AJ78-AM78)</f>
        <v/>
      </c>
      <c r="AM78" s="45" t="str">
        <f aca="false">IF(OR(AH78="",AF78=""),"",ROUND((AH78-AF78)/1.2*0.2,2))</f>
        <v/>
      </c>
      <c r="AN78" s="44" t="str">
        <f aca="false">IF(OR(AF78="",AF78=0),"",AL78/AF78)</f>
        <v/>
      </c>
      <c r="AO78" s="42"/>
      <c r="AP78" s="42"/>
      <c r="AQ78" s="42"/>
      <c r="AR78" s="46" t="str">
        <f aca="true">IF(OR(A78="",P78=""),"",IF(AO78&lt;&gt;"",AO78-P78,TODAY()-P78))</f>
        <v/>
      </c>
      <c r="AS78" s="42"/>
    </row>
    <row r="79" customFormat="false" ht="21.75" hidden="false" customHeight="true" outlineLevel="0" collapsed="false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8" t="str">
        <f aca="false">IF(A79="","",SUM(Y79:AE79))</f>
        <v/>
      </c>
      <c r="AG79" s="38" t="str">
        <f aca="false">IF(AF79="","",ROUND(AF79*1.2/100,0)*100)</f>
        <v/>
      </c>
      <c r="AH79" s="38"/>
      <c r="AI79" s="38" t="str">
        <f aca="false">IF(AF79="","",ROUND(AF79*1.05/100,0)*100)</f>
        <v/>
      </c>
      <c r="AJ79" s="38" t="str">
        <f aca="false">IF(OR(AH79="",AF79=""),"",AH79-AF79)</f>
        <v/>
      </c>
      <c r="AK79" s="39" t="str">
        <f aca="false">IF(OR(AF79="",AF79=0),"",AJ79/AF79)</f>
        <v/>
      </c>
      <c r="AL79" s="38" t="str">
        <f aca="false">IF(AJ79="","",AJ79-AM79)</f>
        <v/>
      </c>
      <c r="AM79" s="40" t="str">
        <f aca="false">IF(OR(AH79="",AF79=""),"",ROUND((AH79-AF79)/1.2*0.2,2))</f>
        <v/>
      </c>
      <c r="AN79" s="39" t="str">
        <f aca="false">IF(OR(AF79="",AF79=0),"",AL79/AF79)</f>
        <v/>
      </c>
      <c r="AO79" s="37"/>
      <c r="AP79" s="37"/>
      <c r="AQ79" s="37"/>
      <c r="AR79" s="41" t="str">
        <f aca="true">IF(OR(A79="",P79=""),"",IF(AO79&lt;&gt;"",AO79-P79,TODAY()-P79))</f>
        <v/>
      </c>
      <c r="AS79" s="37"/>
    </row>
    <row r="80" customFormat="false" ht="21.75" hidden="false" customHeight="true" outlineLevel="0" collapsed="false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3" t="str">
        <f aca="false">IF(A80="","",SUM(Y80:AE80))</f>
        <v/>
      </c>
      <c r="AG80" s="43" t="str">
        <f aca="false">IF(AF80="","",ROUND(AF80*1.2/100,0)*100)</f>
        <v/>
      </c>
      <c r="AH80" s="43"/>
      <c r="AI80" s="43" t="str">
        <f aca="false">IF(AF80="","",ROUND(AF80*1.05/100,0)*100)</f>
        <v/>
      </c>
      <c r="AJ80" s="43" t="str">
        <f aca="false">IF(OR(AH80="",AF80=""),"",AH80-AF80)</f>
        <v/>
      </c>
      <c r="AK80" s="44" t="str">
        <f aca="false">IF(OR(AF80="",AF80=0),"",AJ80/AF80)</f>
        <v/>
      </c>
      <c r="AL80" s="43" t="str">
        <f aca="false">IF(AJ80="","",AJ80-AM80)</f>
        <v/>
      </c>
      <c r="AM80" s="45" t="str">
        <f aca="false">IF(OR(AH80="",AF80=""),"",ROUND((AH80-AF80)/1.2*0.2,2))</f>
        <v/>
      </c>
      <c r="AN80" s="44" t="str">
        <f aca="false">IF(OR(AF80="",AF80=0),"",AL80/AF80)</f>
        <v/>
      </c>
      <c r="AO80" s="42"/>
      <c r="AP80" s="42"/>
      <c r="AQ80" s="42"/>
      <c r="AR80" s="46" t="str">
        <f aca="true">IF(OR(A80="",P80=""),"",IF(AO80&lt;&gt;"",AO80-P80,TODAY()-P80))</f>
        <v/>
      </c>
      <c r="AS80" s="42"/>
    </row>
    <row r="81" customFormat="false" ht="21.75" hidden="false" customHeight="true" outlineLevel="0" collapsed="false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8" t="str">
        <f aca="false">IF(A81="","",SUM(Y81:AE81))</f>
        <v/>
      </c>
      <c r="AG81" s="38" t="str">
        <f aca="false">IF(AF81="","",ROUND(AF81*1.2/100,0)*100)</f>
        <v/>
      </c>
      <c r="AH81" s="38"/>
      <c r="AI81" s="38" t="str">
        <f aca="false">IF(AF81="","",ROUND(AF81*1.05/100,0)*100)</f>
        <v/>
      </c>
      <c r="AJ81" s="38" t="str">
        <f aca="false">IF(OR(AH81="",AF81=""),"",AH81-AF81)</f>
        <v/>
      </c>
      <c r="AK81" s="39" t="str">
        <f aca="false">IF(OR(AF81="",AF81=0),"",AJ81/AF81)</f>
        <v/>
      </c>
      <c r="AL81" s="38" t="str">
        <f aca="false">IF(AJ81="","",AJ81-AM81)</f>
        <v/>
      </c>
      <c r="AM81" s="40" t="str">
        <f aca="false">IF(OR(AH81="",AF81=""),"",ROUND((AH81-AF81)/1.2*0.2,2))</f>
        <v/>
      </c>
      <c r="AN81" s="39" t="str">
        <f aca="false">IF(OR(AF81="",AF81=0),"",AL81/AF81)</f>
        <v/>
      </c>
      <c r="AO81" s="37"/>
      <c r="AP81" s="37"/>
      <c r="AQ81" s="37"/>
      <c r="AR81" s="41" t="str">
        <f aca="true">IF(OR(A81="",P81=""),"",IF(AO81&lt;&gt;"",AO81-P81,TODAY()-P81))</f>
        <v/>
      </c>
      <c r="AS81" s="37"/>
    </row>
    <row r="82" customFormat="false" ht="21.75" hidden="false" customHeight="true" outlineLevel="0" collapsed="false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3" t="str">
        <f aca="false">IF(A82="","",SUM(Y82:AE82))</f>
        <v/>
      </c>
      <c r="AG82" s="43" t="str">
        <f aca="false">IF(AF82="","",ROUND(AF82*1.2/100,0)*100)</f>
        <v/>
      </c>
      <c r="AH82" s="43"/>
      <c r="AI82" s="43" t="str">
        <f aca="false">IF(AF82="","",ROUND(AF82*1.05/100,0)*100)</f>
        <v/>
      </c>
      <c r="AJ82" s="43" t="str">
        <f aca="false">IF(OR(AH82="",AF82=""),"",AH82-AF82)</f>
        <v/>
      </c>
      <c r="AK82" s="44" t="str">
        <f aca="false">IF(OR(AF82="",AF82=0),"",AJ82/AF82)</f>
        <v/>
      </c>
      <c r="AL82" s="43" t="str">
        <f aca="false">IF(AJ82="","",AJ82-AM82)</f>
        <v/>
      </c>
      <c r="AM82" s="45" t="str">
        <f aca="false">IF(OR(AH82="",AF82=""),"",ROUND((AH82-AF82)/1.2*0.2,2))</f>
        <v/>
      </c>
      <c r="AN82" s="44" t="str">
        <f aca="false">IF(OR(AF82="",AF82=0),"",AL82/AF82)</f>
        <v/>
      </c>
      <c r="AO82" s="42"/>
      <c r="AP82" s="42"/>
      <c r="AQ82" s="42"/>
      <c r="AR82" s="46" t="str">
        <f aca="true">IF(OR(A82="",P82=""),"",IF(AO82&lt;&gt;"",AO82-P82,TODAY()-P82))</f>
        <v/>
      </c>
      <c r="AS82" s="42"/>
    </row>
    <row r="83" customFormat="false" ht="21.75" hidden="false" customHeight="true" outlineLevel="0" collapsed="false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8" t="str">
        <f aca="false">IF(A83="","",SUM(Y83:AE83))</f>
        <v/>
      </c>
      <c r="AG83" s="38" t="str">
        <f aca="false">IF(AF83="","",ROUND(AF83*1.2/100,0)*100)</f>
        <v/>
      </c>
      <c r="AH83" s="38"/>
      <c r="AI83" s="38" t="str">
        <f aca="false">IF(AF83="","",ROUND(AF83*1.05/100,0)*100)</f>
        <v/>
      </c>
      <c r="AJ83" s="38" t="str">
        <f aca="false">IF(OR(AH83="",AF83=""),"",AH83-AF83)</f>
        <v/>
      </c>
      <c r="AK83" s="39" t="str">
        <f aca="false">IF(OR(AF83="",AF83=0),"",AJ83/AF83)</f>
        <v/>
      </c>
      <c r="AL83" s="38" t="str">
        <f aca="false">IF(AJ83="","",AJ83-AM83)</f>
        <v/>
      </c>
      <c r="AM83" s="40" t="str">
        <f aca="false">IF(OR(AH83="",AF83=""),"",ROUND((AH83-AF83)/1.2*0.2,2))</f>
        <v/>
      </c>
      <c r="AN83" s="39" t="str">
        <f aca="false">IF(OR(AF83="",AF83=0),"",AL83/AF83)</f>
        <v/>
      </c>
      <c r="AO83" s="37"/>
      <c r="AP83" s="37"/>
      <c r="AQ83" s="37"/>
      <c r="AR83" s="41" t="str">
        <f aca="true">IF(OR(A83="",P83=""),"",IF(AO83&lt;&gt;"",AO83-P83,TODAY()-P83))</f>
        <v/>
      </c>
      <c r="AS83" s="37"/>
    </row>
    <row r="84" customFormat="false" ht="21.75" hidden="false" customHeight="true" outlineLevel="0" collapsed="false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3" t="str">
        <f aca="false">IF(A84="","",SUM(Y84:AE84))</f>
        <v/>
      </c>
      <c r="AG84" s="43" t="str">
        <f aca="false">IF(AF84="","",ROUND(AF84*1.2/100,0)*100)</f>
        <v/>
      </c>
      <c r="AH84" s="43"/>
      <c r="AI84" s="43" t="str">
        <f aca="false">IF(AF84="","",ROUND(AF84*1.05/100,0)*100)</f>
        <v/>
      </c>
      <c r="AJ84" s="43" t="str">
        <f aca="false">IF(OR(AH84="",AF84=""),"",AH84-AF84)</f>
        <v/>
      </c>
      <c r="AK84" s="44" t="str">
        <f aca="false">IF(OR(AF84="",AF84=0),"",AJ84/AF84)</f>
        <v/>
      </c>
      <c r="AL84" s="43" t="str">
        <f aca="false">IF(AJ84="","",AJ84-AM84)</f>
        <v/>
      </c>
      <c r="AM84" s="45" t="str">
        <f aca="false">IF(OR(AH84="",AF84=""),"",ROUND((AH84-AF84)/1.2*0.2,2))</f>
        <v/>
      </c>
      <c r="AN84" s="44" t="str">
        <f aca="false">IF(OR(AF84="",AF84=0),"",AL84/AF84)</f>
        <v/>
      </c>
      <c r="AO84" s="42"/>
      <c r="AP84" s="42"/>
      <c r="AQ84" s="42"/>
      <c r="AR84" s="46" t="str">
        <f aca="true">IF(OR(A84="",P84=""),"",IF(AO84&lt;&gt;"",AO84-P84,TODAY()-P84))</f>
        <v/>
      </c>
      <c r="AS84" s="42"/>
    </row>
    <row r="85" customFormat="false" ht="21.75" hidden="false" customHeight="true" outlineLevel="0" collapsed="false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8" t="str">
        <f aca="false">IF(A85="","",SUM(Y85:AE85))</f>
        <v/>
      </c>
      <c r="AG85" s="38" t="str">
        <f aca="false">IF(AF85="","",ROUND(AF85*1.2/100,0)*100)</f>
        <v/>
      </c>
      <c r="AH85" s="38"/>
      <c r="AI85" s="38" t="str">
        <f aca="false">IF(AF85="","",ROUND(AF85*1.05/100,0)*100)</f>
        <v/>
      </c>
      <c r="AJ85" s="38" t="str">
        <f aca="false">IF(OR(AH85="",AF85=""),"",AH85-AF85)</f>
        <v/>
      </c>
      <c r="AK85" s="39" t="str">
        <f aca="false">IF(OR(AF85="",AF85=0),"",AJ85/AF85)</f>
        <v/>
      </c>
      <c r="AL85" s="38" t="str">
        <f aca="false">IF(AJ85="","",AJ85-AM85)</f>
        <v/>
      </c>
      <c r="AM85" s="40" t="str">
        <f aca="false">IF(OR(AH85="",AF85=""),"",ROUND((AH85-AF85)/1.2*0.2,2))</f>
        <v/>
      </c>
      <c r="AN85" s="39" t="str">
        <f aca="false">IF(OR(AF85="",AF85=0),"",AL85/AF85)</f>
        <v/>
      </c>
      <c r="AO85" s="37"/>
      <c r="AP85" s="37"/>
      <c r="AQ85" s="37"/>
      <c r="AR85" s="41" t="str">
        <f aca="true">IF(OR(A85="",P85=""),"",IF(AO85&lt;&gt;"",AO85-P85,TODAY()-P85))</f>
        <v/>
      </c>
      <c r="AS85" s="37"/>
    </row>
    <row r="86" customFormat="false" ht="21.75" hidden="false" customHeight="true" outlineLevel="0" collapsed="false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3" t="str">
        <f aca="false">IF(A86="","",SUM(Y86:AE86))</f>
        <v/>
      </c>
      <c r="AG86" s="43" t="str">
        <f aca="false">IF(AF86="","",ROUND(AF86*1.2/100,0)*100)</f>
        <v/>
      </c>
      <c r="AH86" s="43"/>
      <c r="AI86" s="43" t="str">
        <f aca="false">IF(AF86="","",ROUND(AF86*1.05/100,0)*100)</f>
        <v/>
      </c>
      <c r="AJ86" s="43" t="str">
        <f aca="false">IF(OR(AH86="",AF86=""),"",AH86-AF86)</f>
        <v/>
      </c>
      <c r="AK86" s="44" t="str">
        <f aca="false">IF(OR(AF86="",AF86=0),"",AJ86/AF86)</f>
        <v/>
      </c>
      <c r="AL86" s="43" t="str">
        <f aca="false">IF(AJ86="","",AJ86-AM86)</f>
        <v/>
      </c>
      <c r="AM86" s="45" t="str">
        <f aca="false">IF(OR(AH86="",AF86=""),"",ROUND((AH86-AF86)/1.2*0.2,2))</f>
        <v/>
      </c>
      <c r="AN86" s="44" t="str">
        <f aca="false">IF(OR(AF86="",AF86=0),"",AL86/AF86)</f>
        <v/>
      </c>
      <c r="AO86" s="42"/>
      <c r="AP86" s="42"/>
      <c r="AQ86" s="42"/>
      <c r="AR86" s="46" t="str">
        <f aca="true">IF(OR(A86="",P86=""),"",IF(AO86&lt;&gt;"",AO86-P86,TODAY()-P86))</f>
        <v/>
      </c>
      <c r="AS86" s="42"/>
    </row>
    <row r="87" customFormat="false" ht="21.75" hidden="false" customHeight="true" outlineLevel="0" collapsed="false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8" t="str">
        <f aca="false">IF(A87="","",SUM(Y87:AE87))</f>
        <v/>
      </c>
      <c r="AG87" s="38" t="str">
        <f aca="false">IF(AF87="","",ROUND(AF87*1.2/100,0)*100)</f>
        <v/>
      </c>
      <c r="AH87" s="38"/>
      <c r="AI87" s="38" t="str">
        <f aca="false">IF(AF87="","",ROUND(AF87*1.05/100,0)*100)</f>
        <v/>
      </c>
      <c r="AJ87" s="38" t="str">
        <f aca="false">IF(OR(AH87="",AF87=""),"",AH87-AF87)</f>
        <v/>
      </c>
      <c r="AK87" s="39" t="str">
        <f aca="false">IF(OR(AF87="",AF87=0),"",AJ87/AF87)</f>
        <v/>
      </c>
      <c r="AL87" s="38" t="str">
        <f aca="false">IF(AJ87="","",AJ87-AM87)</f>
        <v/>
      </c>
      <c r="AM87" s="40" t="str">
        <f aca="false">IF(OR(AH87="",AF87=""),"",ROUND((AH87-AF87)/1.2*0.2,2))</f>
        <v/>
      </c>
      <c r="AN87" s="39" t="str">
        <f aca="false">IF(OR(AF87="",AF87=0),"",AL87/AF87)</f>
        <v/>
      </c>
      <c r="AO87" s="37"/>
      <c r="AP87" s="37"/>
      <c r="AQ87" s="37"/>
      <c r="AR87" s="41" t="str">
        <f aca="true">IF(OR(A87="",P87=""),"",IF(AO87&lt;&gt;"",AO87-P87,TODAY()-P87))</f>
        <v/>
      </c>
      <c r="AS87" s="37"/>
    </row>
    <row r="88" customFormat="false" ht="21.75" hidden="false" customHeight="true" outlineLevel="0" collapsed="false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3" t="str">
        <f aca="false">IF(A88="","",SUM(Y88:AE88))</f>
        <v/>
      </c>
      <c r="AG88" s="43" t="str">
        <f aca="false">IF(AF88="","",ROUND(AF88*1.2/100,0)*100)</f>
        <v/>
      </c>
      <c r="AH88" s="43"/>
      <c r="AI88" s="43" t="str">
        <f aca="false">IF(AF88="","",ROUND(AF88*1.05/100,0)*100)</f>
        <v/>
      </c>
      <c r="AJ88" s="43" t="str">
        <f aca="false">IF(OR(AH88="",AF88=""),"",AH88-AF88)</f>
        <v/>
      </c>
      <c r="AK88" s="44" t="str">
        <f aca="false">IF(OR(AF88="",AF88=0),"",AJ88/AF88)</f>
        <v/>
      </c>
      <c r="AL88" s="43" t="str">
        <f aca="false">IF(AJ88="","",AJ88-AM88)</f>
        <v/>
      </c>
      <c r="AM88" s="45" t="str">
        <f aca="false">IF(OR(AH88="",AF88=""),"",ROUND((AH88-AF88)/1.2*0.2,2))</f>
        <v/>
      </c>
      <c r="AN88" s="44" t="str">
        <f aca="false">IF(OR(AF88="",AF88=0),"",AL88/AF88)</f>
        <v/>
      </c>
      <c r="AO88" s="42"/>
      <c r="AP88" s="42"/>
      <c r="AQ88" s="42"/>
      <c r="AR88" s="46" t="str">
        <f aca="true">IF(OR(A88="",P88=""),"",IF(AO88&lt;&gt;"",AO88-P88,TODAY()-P88))</f>
        <v/>
      </c>
      <c r="AS88" s="42"/>
    </row>
    <row r="89" customFormat="false" ht="21.75" hidden="false" customHeight="true" outlineLevel="0" collapsed="false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8" t="str">
        <f aca="false">IF(A89="","",SUM(Y89:AE89))</f>
        <v/>
      </c>
      <c r="AG89" s="38" t="str">
        <f aca="false">IF(AF89="","",ROUND(AF89*1.2/100,0)*100)</f>
        <v/>
      </c>
      <c r="AH89" s="38"/>
      <c r="AI89" s="38" t="str">
        <f aca="false">IF(AF89="","",ROUND(AF89*1.05/100,0)*100)</f>
        <v/>
      </c>
      <c r="AJ89" s="38" t="str">
        <f aca="false">IF(OR(AH89="",AF89=""),"",AH89-AF89)</f>
        <v/>
      </c>
      <c r="AK89" s="39" t="str">
        <f aca="false">IF(OR(AF89="",AF89=0),"",AJ89/AF89)</f>
        <v/>
      </c>
      <c r="AL89" s="38" t="str">
        <f aca="false">IF(AJ89="","",AJ89-AM89)</f>
        <v/>
      </c>
      <c r="AM89" s="40" t="str">
        <f aca="false">IF(OR(AH89="",AF89=""),"",ROUND((AH89-AF89)/1.2*0.2,2))</f>
        <v/>
      </c>
      <c r="AN89" s="39" t="str">
        <f aca="false">IF(OR(AF89="",AF89=0),"",AL89/AF89)</f>
        <v/>
      </c>
      <c r="AO89" s="37"/>
      <c r="AP89" s="37"/>
      <c r="AQ89" s="37"/>
      <c r="AR89" s="41" t="str">
        <f aca="true">IF(OR(A89="",P89=""),"",IF(AO89&lt;&gt;"",AO89-P89,TODAY()-P89))</f>
        <v/>
      </c>
      <c r="AS89" s="37"/>
    </row>
    <row r="90" customFormat="false" ht="21.75" hidden="false" customHeight="true" outlineLevel="0" collapsed="false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3" t="str">
        <f aca="false">IF(A90="","",SUM(Y90:AE90))</f>
        <v/>
      </c>
      <c r="AG90" s="43" t="str">
        <f aca="false">IF(AF90="","",ROUND(AF90*1.2/100,0)*100)</f>
        <v/>
      </c>
      <c r="AH90" s="43"/>
      <c r="AI90" s="43" t="str">
        <f aca="false">IF(AF90="","",ROUND(AF90*1.05/100,0)*100)</f>
        <v/>
      </c>
      <c r="AJ90" s="43" t="str">
        <f aca="false">IF(OR(AH90="",AF90=""),"",AH90-AF90)</f>
        <v/>
      </c>
      <c r="AK90" s="44" t="str">
        <f aca="false">IF(OR(AF90="",AF90=0),"",AJ90/AF90)</f>
        <v/>
      </c>
      <c r="AL90" s="43" t="str">
        <f aca="false">IF(AJ90="","",AJ90-AM90)</f>
        <v/>
      </c>
      <c r="AM90" s="45" t="str">
        <f aca="false">IF(OR(AH90="",AF90=""),"",ROUND((AH90-AF90)/1.2*0.2,2))</f>
        <v/>
      </c>
      <c r="AN90" s="44" t="str">
        <f aca="false">IF(OR(AF90="",AF90=0),"",AL90/AF90)</f>
        <v/>
      </c>
      <c r="AO90" s="42"/>
      <c r="AP90" s="42"/>
      <c r="AQ90" s="42"/>
      <c r="AR90" s="46" t="str">
        <f aca="true">IF(OR(A90="",P90=""),"",IF(AO90&lt;&gt;"",AO90-P90,TODAY()-P90))</f>
        <v/>
      </c>
      <c r="AS90" s="42"/>
    </row>
    <row r="91" customFormat="false" ht="21.75" hidden="false" customHeight="true" outlineLevel="0" collapsed="false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8" t="str">
        <f aca="false">IF(A91="","",SUM(Y91:AE91))</f>
        <v/>
      </c>
      <c r="AG91" s="38" t="str">
        <f aca="false">IF(AF91="","",ROUND(AF91*1.2/100,0)*100)</f>
        <v/>
      </c>
      <c r="AH91" s="38"/>
      <c r="AI91" s="38" t="str">
        <f aca="false">IF(AF91="","",ROUND(AF91*1.05/100,0)*100)</f>
        <v/>
      </c>
      <c r="AJ91" s="38" t="str">
        <f aca="false">IF(OR(AH91="",AF91=""),"",AH91-AF91)</f>
        <v/>
      </c>
      <c r="AK91" s="39" t="str">
        <f aca="false">IF(OR(AF91="",AF91=0),"",AJ91/AF91)</f>
        <v/>
      </c>
      <c r="AL91" s="38" t="str">
        <f aca="false">IF(AJ91="","",AJ91-AM91)</f>
        <v/>
      </c>
      <c r="AM91" s="40" t="str">
        <f aca="false">IF(OR(AH91="",AF91=""),"",ROUND((AH91-AF91)/1.2*0.2,2))</f>
        <v/>
      </c>
      <c r="AN91" s="39" t="str">
        <f aca="false">IF(OR(AF91="",AF91=0),"",AL91/AF91)</f>
        <v/>
      </c>
      <c r="AO91" s="37"/>
      <c r="AP91" s="37"/>
      <c r="AQ91" s="37"/>
      <c r="AR91" s="41" t="str">
        <f aca="true">IF(OR(A91="",P91=""),"",IF(AO91&lt;&gt;"",AO91-P91,TODAY()-P91))</f>
        <v/>
      </c>
      <c r="AS91" s="37"/>
    </row>
    <row r="92" customFormat="false" ht="21.75" hidden="false" customHeight="true" outlineLevel="0" collapsed="false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3" t="str">
        <f aca="false">IF(A92="","",SUM(Y92:AE92))</f>
        <v/>
      </c>
      <c r="AG92" s="43" t="str">
        <f aca="false">IF(AF92="","",ROUND(AF92*1.2/100,0)*100)</f>
        <v/>
      </c>
      <c r="AH92" s="43"/>
      <c r="AI92" s="43" t="str">
        <f aca="false">IF(AF92="","",ROUND(AF92*1.05/100,0)*100)</f>
        <v/>
      </c>
      <c r="AJ92" s="43" t="str">
        <f aca="false">IF(OR(AH92="",AF92=""),"",AH92-AF92)</f>
        <v/>
      </c>
      <c r="AK92" s="44" t="str">
        <f aca="false">IF(OR(AF92="",AF92=0),"",AJ92/AF92)</f>
        <v/>
      </c>
      <c r="AL92" s="43" t="str">
        <f aca="false">IF(AJ92="","",AJ92-AM92)</f>
        <v/>
      </c>
      <c r="AM92" s="45" t="str">
        <f aca="false">IF(OR(AH92="",AF92=""),"",ROUND((AH92-AF92)/1.2*0.2,2))</f>
        <v/>
      </c>
      <c r="AN92" s="44" t="str">
        <f aca="false">IF(OR(AF92="",AF92=0),"",AL92/AF92)</f>
        <v/>
      </c>
      <c r="AO92" s="42"/>
      <c r="AP92" s="42"/>
      <c r="AQ92" s="42"/>
      <c r="AR92" s="46" t="str">
        <f aca="true">IF(OR(A92="",P92=""),"",IF(AO92&lt;&gt;"",AO92-P92,TODAY()-P92))</f>
        <v/>
      </c>
      <c r="AS92" s="42"/>
    </row>
    <row r="93" customFormat="false" ht="21.75" hidden="false" customHeight="true" outlineLevel="0" collapsed="false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8" t="str">
        <f aca="false">IF(A93="","",SUM(Y93:AE93))</f>
        <v/>
      </c>
      <c r="AG93" s="38" t="str">
        <f aca="false">IF(AF93="","",ROUND(AF93*1.2/100,0)*100)</f>
        <v/>
      </c>
      <c r="AH93" s="38"/>
      <c r="AI93" s="38" t="str">
        <f aca="false">IF(AF93="","",ROUND(AF93*1.05/100,0)*100)</f>
        <v/>
      </c>
      <c r="AJ93" s="38" t="str">
        <f aca="false">IF(OR(AH93="",AF93=""),"",AH93-AF93)</f>
        <v/>
      </c>
      <c r="AK93" s="39" t="str">
        <f aca="false">IF(OR(AF93="",AF93=0),"",AJ93/AF93)</f>
        <v/>
      </c>
      <c r="AL93" s="38" t="str">
        <f aca="false">IF(AJ93="","",AJ93-AM93)</f>
        <v/>
      </c>
      <c r="AM93" s="40" t="str">
        <f aca="false">IF(OR(AH93="",AF93=""),"",ROUND((AH93-AF93)/1.2*0.2,2))</f>
        <v/>
      </c>
      <c r="AN93" s="39" t="str">
        <f aca="false">IF(OR(AF93="",AF93=0),"",AL93/AF93)</f>
        <v/>
      </c>
      <c r="AO93" s="37"/>
      <c r="AP93" s="37"/>
      <c r="AQ93" s="37"/>
      <c r="AR93" s="41" t="str">
        <f aca="true">IF(OR(A93="",P93=""),"",IF(AO93&lt;&gt;"",AO93-P93,TODAY()-P93))</f>
        <v/>
      </c>
      <c r="AS93" s="37"/>
    </row>
    <row r="94" customFormat="false" ht="21.75" hidden="false" customHeight="true" outlineLevel="0" collapsed="false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3" t="str">
        <f aca="false">IF(A94="","",SUM(Y94:AE94))</f>
        <v/>
      </c>
      <c r="AG94" s="43" t="str">
        <f aca="false">IF(AF94="","",ROUND(AF94*1.2/100,0)*100)</f>
        <v/>
      </c>
      <c r="AH94" s="43"/>
      <c r="AI94" s="43" t="str">
        <f aca="false">IF(AF94="","",ROUND(AF94*1.05/100,0)*100)</f>
        <v/>
      </c>
      <c r="AJ94" s="43" t="str">
        <f aca="false">IF(OR(AH94="",AF94=""),"",AH94-AF94)</f>
        <v/>
      </c>
      <c r="AK94" s="44" t="str">
        <f aca="false">IF(OR(AF94="",AF94=0),"",AJ94/AF94)</f>
        <v/>
      </c>
      <c r="AL94" s="43" t="str">
        <f aca="false">IF(AJ94="","",AJ94-AM94)</f>
        <v/>
      </c>
      <c r="AM94" s="45" t="str">
        <f aca="false">IF(OR(AH94="",AF94=""),"",ROUND((AH94-AF94)/1.2*0.2,2))</f>
        <v/>
      </c>
      <c r="AN94" s="44" t="str">
        <f aca="false">IF(OR(AF94="",AF94=0),"",AL94/AF94)</f>
        <v/>
      </c>
      <c r="AO94" s="42"/>
      <c r="AP94" s="42"/>
      <c r="AQ94" s="42"/>
      <c r="AR94" s="46" t="str">
        <f aca="true">IF(OR(A94="",P94=""),"",IF(AO94&lt;&gt;"",AO94-P94,TODAY()-P94))</f>
        <v/>
      </c>
      <c r="AS94" s="42"/>
    </row>
    <row r="95" customFormat="false" ht="21.75" hidden="false" customHeight="true" outlineLevel="0" collapsed="false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8" t="str">
        <f aca="false">IF(A95="","",SUM(Y95:AE95))</f>
        <v/>
      </c>
      <c r="AG95" s="38" t="str">
        <f aca="false">IF(AF95="","",ROUND(AF95*1.2/100,0)*100)</f>
        <v/>
      </c>
      <c r="AH95" s="38"/>
      <c r="AI95" s="38" t="str">
        <f aca="false">IF(AF95="","",ROUND(AF95*1.05/100,0)*100)</f>
        <v/>
      </c>
      <c r="AJ95" s="38" t="str">
        <f aca="false">IF(OR(AH95="",AF95=""),"",AH95-AF95)</f>
        <v/>
      </c>
      <c r="AK95" s="39" t="str">
        <f aca="false">IF(OR(AF95="",AF95=0),"",AJ95/AF95)</f>
        <v/>
      </c>
      <c r="AL95" s="38" t="str">
        <f aca="false">IF(AJ95="","",AJ95-AM95)</f>
        <v/>
      </c>
      <c r="AM95" s="40" t="str">
        <f aca="false">IF(OR(AH95="",AF95=""),"",ROUND((AH95-AF95)/1.2*0.2,2))</f>
        <v/>
      </c>
      <c r="AN95" s="39" t="str">
        <f aca="false">IF(OR(AF95="",AF95=0),"",AL95/AF95)</f>
        <v/>
      </c>
      <c r="AO95" s="37"/>
      <c r="AP95" s="37"/>
      <c r="AQ95" s="37"/>
      <c r="AR95" s="41" t="str">
        <f aca="true">IF(OR(A95="",P95=""),"",IF(AO95&lt;&gt;"",AO95-P95,TODAY()-P95))</f>
        <v/>
      </c>
      <c r="AS95" s="37"/>
    </row>
    <row r="96" customFormat="false" ht="21.75" hidden="false" customHeight="true" outlineLevel="0" collapsed="false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3" t="str">
        <f aca="false">IF(A96="","",SUM(Y96:AE96))</f>
        <v/>
      </c>
      <c r="AG96" s="43" t="str">
        <f aca="false">IF(AF96="","",ROUND(AF96*1.2/100,0)*100)</f>
        <v/>
      </c>
      <c r="AH96" s="43"/>
      <c r="AI96" s="43" t="str">
        <f aca="false">IF(AF96="","",ROUND(AF96*1.05/100,0)*100)</f>
        <v/>
      </c>
      <c r="AJ96" s="43" t="str">
        <f aca="false">IF(OR(AH96="",AF96=""),"",AH96-AF96)</f>
        <v/>
      </c>
      <c r="AK96" s="44" t="str">
        <f aca="false">IF(OR(AF96="",AF96=0),"",AJ96/AF96)</f>
        <v/>
      </c>
      <c r="AL96" s="43" t="str">
        <f aca="false">IF(AJ96="","",AJ96-AM96)</f>
        <v/>
      </c>
      <c r="AM96" s="45" t="str">
        <f aca="false">IF(OR(AH96="",AF96=""),"",ROUND((AH96-AF96)/1.2*0.2,2))</f>
        <v/>
      </c>
      <c r="AN96" s="44" t="str">
        <f aca="false">IF(OR(AF96="",AF96=0),"",AL96/AF96)</f>
        <v/>
      </c>
      <c r="AO96" s="42"/>
      <c r="AP96" s="42"/>
      <c r="AQ96" s="42"/>
      <c r="AR96" s="46" t="str">
        <f aca="true">IF(OR(A96="",P96=""),"",IF(AO96&lt;&gt;"",AO96-P96,TODAY()-P96))</f>
        <v/>
      </c>
      <c r="AS96" s="42"/>
    </row>
    <row r="97" customFormat="false" ht="21.75" hidden="false" customHeight="true" outlineLevel="0" collapsed="false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8" t="str">
        <f aca="false">IF(A97="","",SUM(Y97:AE97))</f>
        <v/>
      </c>
      <c r="AG97" s="38" t="str">
        <f aca="false">IF(AF97="","",ROUND(AF97*1.2/100,0)*100)</f>
        <v/>
      </c>
      <c r="AH97" s="38"/>
      <c r="AI97" s="38" t="str">
        <f aca="false">IF(AF97="","",ROUND(AF97*1.05/100,0)*100)</f>
        <v/>
      </c>
      <c r="AJ97" s="38" t="str">
        <f aca="false">IF(OR(AH97="",AF97=""),"",AH97-AF97)</f>
        <v/>
      </c>
      <c r="AK97" s="39" t="str">
        <f aca="false">IF(OR(AF97="",AF97=0),"",AJ97/AF97)</f>
        <v/>
      </c>
      <c r="AL97" s="38" t="str">
        <f aca="false">IF(AJ97="","",AJ97-AM97)</f>
        <v/>
      </c>
      <c r="AM97" s="40" t="str">
        <f aca="false">IF(OR(AH97="",AF97=""),"",ROUND((AH97-AF97)/1.2*0.2,2))</f>
        <v/>
      </c>
      <c r="AN97" s="39" t="str">
        <f aca="false">IF(OR(AF97="",AF97=0),"",AL97/AF97)</f>
        <v/>
      </c>
      <c r="AO97" s="37"/>
      <c r="AP97" s="37"/>
      <c r="AQ97" s="37"/>
      <c r="AR97" s="41" t="str">
        <f aca="true">IF(OR(A97="",P97=""),"",IF(AO97&lt;&gt;"",AO97-P97,TODAY()-P97))</f>
        <v/>
      </c>
      <c r="AS97" s="37"/>
    </row>
    <row r="98" customFormat="false" ht="21.75" hidden="false" customHeight="true" outlineLevel="0" collapsed="false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3" t="str">
        <f aca="false">IF(A98="","",SUM(Y98:AE98))</f>
        <v/>
      </c>
      <c r="AG98" s="43" t="str">
        <f aca="false">IF(AF98="","",ROUND(AF98*1.2/100,0)*100)</f>
        <v/>
      </c>
      <c r="AH98" s="43"/>
      <c r="AI98" s="43" t="str">
        <f aca="false">IF(AF98="","",ROUND(AF98*1.05/100,0)*100)</f>
        <v/>
      </c>
      <c r="AJ98" s="43" t="str">
        <f aca="false">IF(OR(AH98="",AF98=""),"",AH98-AF98)</f>
        <v/>
      </c>
      <c r="AK98" s="44" t="str">
        <f aca="false">IF(OR(AF98="",AF98=0),"",AJ98/AF98)</f>
        <v/>
      </c>
      <c r="AL98" s="43" t="str">
        <f aca="false">IF(AJ98="","",AJ98-AM98)</f>
        <v/>
      </c>
      <c r="AM98" s="45" t="str">
        <f aca="false">IF(OR(AH98="",AF98=""),"",ROUND((AH98-AF98)/1.2*0.2,2))</f>
        <v/>
      </c>
      <c r="AN98" s="44" t="str">
        <f aca="false">IF(OR(AF98="",AF98=0),"",AL98/AF98)</f>
        <v/>
      </c>
      <c r="AO98" s="42"/>
      <c r="AP98" s="42"/>
      <c r="AQ98" s="42"/>
      <c r="AR98" s="46" t="str">
        <f aca="true">IF(OR(A98="",P98=""),"",IF(AO98&lt;&gt;"",AO98-P98,TODAY()-P98))</f>
        <v/>
      </c>
      <c r="AS98" s="42"/>
    </row>
    <row r="99" customFormat="false" ht="21.75" hidden="false" customHeight="true" outlineLevel="0" collapsed="false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8" t="str">
        <f aca="false">IF(A99="","",SUM(Y99:AE99))</f>
        <v/>
      </c>
      <c r="AG99" s="38" t="str">
        <f aca="false">IF(AF99="","",ROUND(AF99*1.2/100,0)*100)</f>
        <v/>
      </c>
      <c r="AH99" s="38"/>
      <c r="AI99" s="38" t="str">
        <f aca="false">IF(AF99="","",ROUND(AF99*1.05/100,0)*100)</f>
        <v/>
      </c>
      <c r="AJ99" s="38" t="str">
        <f aca="false">IF(OR(AH99="",AF99=""),"",AH99-AF99)</f>
        <v/>
      </c>
      <c r="AK99" s="39" t="str">
        <f aca="false">IF(OR(AF99="",AF99=0),"",AJ99/AF99)</f>
        <v/>
      </c>
      <c r="AL99" s="38" t="str">
        <f aca="false">IF(AJ99="","",AJ99-AM99)</f>
        <v/>
      </c>
      <c r="AM99" s="40" t="str">
        <f aca="false">IF(OR(AH99="",AF99=""),"",ROUND((AH99-AF99)/1.2*0.2,2))</f>
        <v/>
      </c>
      <c r="AN99" s="39" t="str">
        <f aca="false">IF(OR(AF99="",AF99=0),"",AL99/AF99)</f>
        <v/>
      </c>
      <c r="AO99" s="37"/>
      <c r="AP99" s="37"/>
      <c r="AQ99" s="37"/>
      <c r="AR99" s="41" t="str">
        <f aca="true">IF(OR(A99="",P99=""),"",IF(AO99&lt;&gt;"",AO99-P99,TODAY()-P99))</f>
        <v/>
      </c>
      <c r="AS99" s="37"/>
    </row>
    <row r="100" customFormat="false" ht="21.75" hidden="false" customHeight="true" outlineLevel="0" collapsed="false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3" t="str">
        <f aca="false">IF(A100="","",SUM(Y100:AE100))</f>
        <v/>
      </c>
      <c r="AG100" s="43" t="str">
        <f aca="false">IF(AF100="","",ROUND(AF100*1.2/100,0)*100)</f>
        <v/>
      </c>
      <c r="AH100" s="43"/>
      <c r="AI100" s="43" t="str">
        <f aca="false">IF(AF100="","",ROUND(AF100*1.05/100,0)*100)</f>
        <v/>
      </c>
      <c r="AJ100" s="43" t="str">
        <f aca="false">IF(OR(AH100="",AF100=""),"",AH100-AF100)</f>
        <v/>
      </c>
      <c r="AK100" s="44" t="str">
        <f aca="false">IF(OR(AF100="",AF100=0),"",AJ100/AF100)</f>
        <v/>
      </c>
      <c r="AL100" s="43" t="str">
        <f aca="false">IF(AJ100="","",AJ100-AM100)</f>
        <v/>
      </c>
      <c r="AM100" s="45" t="str">
        <f aca="false">IF(OR(AH100="",AF100=""),"",ROUND((AH100-AF100)/1.2*0.2,2))</f>
        <v/>
      </c>
      <c r="AN100" s="44" t="str">
        <f aca="false">IF(OR(AF100="",AF100=0),"",AL100/AF100)</f>
        <v/>
      </c>
      <c r="AO100" s="42"/>
      <c r="AP100" s="42"/>
      <c r="AQ100" s="42"/>
      <c r="AR100" s="46" t="str">
        <f aca="true">IF(OR(A100="",P100=""),"",IF(AO100&lt;&gt;"",AO100-P100,TODAY()-P100))</f>
        <v/>
      </c>
      <c r="AS100" s="42"/>
    </row>
    <row r="101" customFormat="false" ht="21.75" hidden="false" customHeight="true" outlineLevel="0" collapsed="false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8" t="str">
        <f aca="false">IF(A101="","",SUM(Y101:AE101))</f>
        <v/>
      </c>
      <c r="AG101" s="38" t="str">
        <f aca="false">IF(AF101="","",ROUND(AF101*1.2/100,0)*100)</f>
        <v/>
      </c>
      <c r="AH101" s="38"/>
      <c r="AI101" s="38" t="str">
        <f aca="false">IF(AF101="","",ROUND(AF101*1.05/100,0)*100)</f>
        <v/>
      </c>
      <c r="AJ101" s="38" t="str">
        <f aca="false">IF(OR(AH101="",AF101=""),"",AH101-AF101)</f>
        <v/>
      </c>
      <c r="AK101" s="39" t="str">
        <f aca="false">IF(OR(AF101="",AF101=0),"",AJ101/AF101)</f>
        <v/>
      </c>
      <c r="AL101" s="38" t="str">
        <f aca="false">IF(AJ101="","",AJ101-AM101)</f>
        <v/>
      </c>
      <c r="AM101" s="40" t="str">
        <f aca="false">IF(OR(AH101="",AF101=""),"",ROUND((AH101-AF101)/1.2*0.2,2))</f>
        <v/>
      </c>
      <c r="AN101" s="39" t="str">
        <f aca="false">IF(OR(AF101="",AF101=0),"",AL101/AF101)</f>
        <v/>
      </c>
      <c r="AO101" s="37"/>
      <c r="AP101" s="37"/>
      <c r="AQ101" s="37"/>
      <c r="AR101" s="41" t="str">
        <f aca="true">IF(OR(A101="",P101=""),"",IF(AO101&lt;&gt;"",AO101-P101,TODAY()-P101))</f>
        <v/>
      </c>
      <c r="AS101" s="37"/>
    </row>
    <row r="102" customFormat="false" ht="21.75" hidden="false" customHeight="true" outlineLevel="0" collapsed="false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3" t="str">
        <f aca="false">IF(A102="","",SUM(Y102:AE102))</f>
        <v/>
      </c>
      <c r="AG102" s="43" t="str">
        <f aca="false">IF(AF102="","",ROUND(AF102*1.2/100,0)*100)</f>
        <v/>
      </c>
      <c r="AH102" s="43"/>
      <c r="AI102" s="43" t="str">
        <f aca="false">IF(AF102="","",ROUND(AF102*1.05/100,0)*100)</f>
        <v/>
      </c>
      <c r="AJ102" s="43" t="str">
        <f aca="false">IF(OR(AH102="",AF102=""),"",AH102-AF102)</f>
        <v/>
      </c>
      <c r="AK102" s="44" t="str">
        <f aca="false">IF(OR(AF102="",AF102=0),"",AJ102/AF102)</f>
        <v/>
      </c>
      <c r="AL102" s="43" t="str">
        <f aca="false">IF(AJ102="","",AJ102-AM102)</f>
        <v/>
      </c>
      <c r="AM102" s="45" t="str">
        <f aca="false">IF(OR(AH102="",AF102=""),"",ROUND((AH102-AF102)/1.2*0.2,2))</f>
        <v/>
      </c>
      <c r="AN102" s="44" t="str">
        <f aca="false">IF(OR(AF102="",AF102=0),"",AL102/AF102)</f>
        <v/>
      </c>
      <c r="AO102" s="42"/>
      <c r="AP102" s="42"/>
      <c r="AQ102" s="42"/>
      <c r="AR102" s="46" t="str">
        <f aca="true">IF(OR(A102="",P102=""),"",IF(AO102&lt;&gt;"",AO102-P102,TODAY()-P102))</f>
        <v/>
      </c>
      <c r="AS102" s="42"/>
    </row>
    <row r="103" customFormat="false" ht="21.75" hidden="false" customHeight="true" outlineLevel="0" collapsed="false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8" t="str">
        <f aca="false">IF(A103="","",SUM(Y103:AE103))</f>
        <v/>
      </c>
      <c r="AG103" s="38" t="str">
        <f aca="false">IF(AF103="","",ROUND(AF103*1.2/100,0)*100)</f>
        <v/>
      </c>
      <c r="AH103" s="38"/>
      <c r="AI103" s="38" t="str">
        <f aca="false">IF(AF103="","",ROUND(AF103*1.05/100,0)*100)</f>
        <v/>
      </c>
      <c r="AJ103" s="38" t="str">
        <f aca="false">IF(OR(AH103="",AF103=""),"",AH103-AF103)</f>
        <v/>
      </c>
      <c r="AK103" s="39" t="str">
        <f aca="false">IF(OR(AF103="",AF103=0),"",AJ103/AF103)</f>
        <v/>
      </c>
      <c r="AL103" s="38" t="str">
        <f aca="false">IF(AJ103="","",AJ103-AM103)</f>
        <v/>
      </c>
      <c r="AM103" s="40" t="str">
        <f aca="false">IF(OR(AH103="",AF103=""),"",ROUND((AH103-AF103)/1.2*0.2,2))</f>
        <v/>
      </c>
      <c r="AN103" s="39" t="str">
        <f aca="false">IF(OR(AF103="",AF103=0),"",AL103/AF103)</f>
        <v/>
      </c>
      <c r="AO103" s="37"/>
      <c r="AP103" s="37"/>
      <c r="AQ103" s="37"/>
      <c r="AR103" s="41" t="str">
        <f aca="true">IF(OR(A103="",P103=""),"",IF(AO103&lt;&gt;"",AO103-P103,TODAY()-P103))</f>
        <v/>
      </c>
      <c r="AS103" s="37"/>
    </row>
    <row r="104" customFormat="false" ht="21.75" hidden="false" customHeight="true" outlineLevel="0" collapsed="false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3" t="str">
        <f aca="false">IF(A104="","",SUM(Y104:AE104))</f>
        <v/>
      </c>
      <c r="AG104" s="43" t="str">
        <f aca="false">IF(AF104="","",ROUND(AF104*1.2/100,0)*100)</f>
        <v/>
      </c>
      <c r="AH104" s="43"/>
      <c r="AI104" s="43" t="str">
        <f aca="false">IF(AF104="","",ROUND(AF104*1.05/100,0)*100)</f>
        <v/>
      </c>
      <c r="AJ104" s="43" t="str">
        <f aca="false">IF(OR(AH104="",AF104=""),"",AH104-AF104)</f>
        <v/>
      </c>
      <c r="AK104" s="44" t="str">
        <f aca="false">IF(OR(AF104="",AF104=0),"",AJ104/AF104)</f>
        <v/>
      </c>
      <c r="AL104" s="43" t="str">
        <f aca="false">IF(AJ104="","",AJ104-AM104)</f>
        <v/>
      </c>
      <c r="AM104" s="45" t="str">
        <f aca="false">IF(OR(AH104="",AF104=""),"",ROUND((AH104-AF104)/1.2*0.2,2))</f>
        <v/>
      </c>
      <c r="AN104" s="44" t="str">
        <f aca="false">IF(OR(AF104="",AF104=0),"",AL104/AF104)</f>
        <v/>
      </c>
      <c r="AO104" s="42"/>
      <c r="AP104" s="42"/>
      <c r="AQ104" s="42"/>
      <c r="AR104" s="46" t="str">
        <f aca="true">IF(OR(A104="",P104=""),"",IF(AO104&lt;&gt;"",AO104-P104,TODAY()-P104))</f>
        <v/>
      </c>
      <c r="AS104" s="42"/>
    </row>
    <row r="105" customFormat="false" ht="21.75" hidden="false" customHeight="true" outlineLevel="0" collapsed="false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8" t="str">
        <f aca="false">IF(A105="","",SUM(Y105:AE105))</f>
        <v/>
      </c>
      <c r="AG105" s="38" t="str">
        <f aca="false">IF(AF105="","",ROUND(AF105*1.2/100,0)*100)</f>
        <v/>
      </c>
      <c r="AH105" s="38"/>
      <c r="AI105" s="38" t="str">
        <f aca="false">IF(AF105="","",ROUND(AF105*1.05/100,0)*100)</f>
        <v/>
      </c>
      <c r="AJ105" s="38" t="str">
        <f aca="false">IF(OR(AH105="",AF105=""),"",AH105-AF105)</f>
        <v/>
      </c>
      <c r="AK105" s="39" t="str">
        <f aca="false">IF(OR(AF105="",AF105=0),"",AJ105/AF105)</f>
        <v/>
      </c>
      <c r="AL105" s="38" t="str">
        <f aca="false">IF(AJ105="","",AJ105-AM105)</f>
        <v/>
      </c>
      <c r="AM105" s="40" t="str">
        <f aca="false">IF(OR(AH105="",AF105=""),"",ROUND((AH105-AF105)/1.2*0.2,2))</f>
        <v/>
      </c>
      <c r="AN105" s="39" t="str">
        <f aca="false">IF(OR(AF105="",AF105=0),"",AL105/AF105)</f>
        <v/>
      </c>
      <c r="AO105" s="37"/>
      <c r="AP105" s="37"/>
      <c r="AQ105" s="37"/>
      <c r="AR105" s="41" t="str">
        <f aca="true">IF(OR(A105="",P105=""),"",IF(AO105&lt;&gt;"",AO105-P105,TODAY()-P105))</f>
        <v/>
      </c>
      <c r="AS105" s="37"/>
    </row>
    <row r="106" customFormat="false" ht="21.75" hidden="false" customHeight="true" outlineLevel="0" collapsed="false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3" t="str">
        <f aca="false">IF(A106="","",SUM(Y106:AE106))</f>
        <v/>
      </c>
      <c r="AG106" s="43" t="str">
        <f aca="false">IF(AF106="","",ROUND(AF106*1.2/100,0)*100)</f>
        <v/>
      </c>
      <c r="AH106" s="43"/>
      <c r="AI106" s="43" t="str">
        <f aca="false">IF(AF106="","",ROUND(AF106*1.05/100,0)*100)</f>
        <v/>
      </c>
      <c r="AJ106" s="43" t="str">
        <f aca="false">IF(OR(AH106="",AF106=""),"",AH106-AF106)</f>
        <v/>
      </c>
      <c r="AK106" s="44" t="str">
        <f aca="false">IF(OR(AF106="",AF106=0),"",AJ106/AF106)</f>
        <v/>
      </c>
      <c r="AL106" s="43" t="str">
        <f aca="false">IF(AJ106="","",AJ106-AM106)</f>
        <v/>
      </c>
      <c r="AM106" s="45" t="str">
        <f aca="false">IF(OR(AH106="",AF106=""),"",ROUND((AH106-AF106)/1.2*0.2,2))</f>
        <v/>
      </c>
      <c r="AN106" s="44" t="str">
        <f aca="false">IF(OR(AF106="",AF106=0),"",AL106/AF106)</f>
        <v/>
      </c>
      <c r="AO106" s="42"/>
      <c r="AP106" s="42"/>
      <c r="AQ106" s="42"/>
      <c r="AR106" s="46" t="str">
        <f aca="true">IF(OR(A106="",P106=""),"",IF(AO106&lt;&gt;"",AO106-P106,TODAY()-P106))</f>
        <v/>
      </c>
      <c r="AS106" s="42"/>
    </row>
    <row r="107" customFormat="false" ht="21.75" hidden="false" customHeight="true" outlineLevel="0" collapsed="false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8" t="str">
        <f aca="false">IF(A107="","",SUM(Y107:AE107))</f>
        <v/>
      </c>
      <c r="AG107" s="38" t="str">
        <f aca="false">IF(AF107="","",ROUND(AF107*1.2/100,0)*100)</f>
        <v/>
      </c>
      <c r="AH107" s="38"/>
      <c r="AI107" s="38" t="str">
        <f aca="false">IF(AF107="","",ROUND(AF107*1.05/100,0)*100)</f>
        <v/>
      </c>
      <c r="AJ107" s="38" t="str">
        <f aca="false">IF(OR(AH107="",AF107=""),"",AH107-AF107)</f>
        <v/>
      </c>
      <c r="AK107" s="39" t="str">
        <f aca="false">IF(OR(AF107="",AF107=0),"",AJ107/AF107)</f>
        <v/>
      </c>
      <c r="AL107" s="38" t="str">
        <f aca="false">IF(AJ107="","",AJ107-AM107)</f>
        <v/>
      </c>
      <c r="AM107" s="40" t="str">
        <f aca="false">IF(OR(AH107="",AF107=""),"",ROUND((AH107-AF107)/1.2*0.2,2))</f>
        <v/>
      </c>
      <c r="AN107" s="39" t="str">
        <f aca="false">IF(OR(AF107="",AF107=0),"",AL107/AF107)</f>
        <v/>
      </c>
      <c r="AO107" s="37"/>
      <c r="AP107" s="37"/>
      <c r="AQ107" s="37"/>
      <c r="AR107" s="41" t="str">
        <f aca="true">IF(OR(A107="",P107=""),"",IF(AO107&lt;&gt;"",AO107-P107,TODAY()-P107))</f>
        <v/>
      </c>
      <c r="AS107" s="37"/>
    </row>
    <row r="108" customFormat="false" ht="21.75" hidden="false" customHeight="true" outlineLevel="0" collapsed="false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3" t="str">
        <f aca="false">IF(A108="","",SUM(Y108:AE108))</f>
        <v/>
      </c>
      <c r="AG108" s="43" t="str">
        <f aca="false">IF(AF108="","",ROUND(AF108*1.2/100,0)*100)</f>
        <v/>
      </c>
      <c r="AH108" s="43"/>
      <c r="AI108" s="43" t="str">
        <f aca="false">IF(AF108="","",ROUND(AF108*1.05/100,0)*100)</f>
        <v/>
      </c>
      <c r="AJ108" s="43" t="str">
        <f aca="false">IF(OR(AH108="",AF108=""),"",AH108-AF108)</f>
        <v/>
      </c>
      <c r="AK108" s="44" t="str">
        <f aca="false">IF(OR(AF108="",AF108=0),"",AJ108/AF108)</f>
        <v/>
      </c>
      <c r="AL108" s="43" t="str">
        <f aca="false">IF(AJ108="","",AJ108-AM108)</f>
        <v/>
      </c>
      <c r="AM108" s="45" t="str">
        <f aca="false">IF(OR(AH108="",AF108=""),"",ROUND((AH108-AF108)/1.2*0.2,2))</f>
        <v/>
      </c>
      <c r="AN108" s="44" t="str">
        <f aca="false">IF(OR(AF108="",AF108=0),"",AL108/AF108)</f>
        <v/>
      </c>
      <c r="AO108" s="42"/>
      <c r="AP108" s="42"/>
      <c r="AQ108" s="42"/>
      <c r="AR108" s="46" t="str">
        <f aca="true">IF(OR(A108="",P108=""),"",IF(AO108&lt;&gt;"",AO108-P108,TODAY()-P108))</f>
        <v/>
      </c>
      <c r="AS108" s="42"/>
    </row>
    <row r="109" customFormat="false" ht="21.75" hidden="false" customHeight="true" outlineLevel="0" collapsed="false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8" t="str">
        <f aca="false">IF(A109="","",SUM(Y109:AE109))</f>
        <v/>
      </c>
      <c r="AG109" s="38" t="str">
        <f aca="false">IF(AF109="","",ROUND(AF109*1.2/100,0)*100)</f>
        <v/>
      </c>
      <c r="AH109" s="38"/>
      <c r="AI109" s="38" t="str">
        <f aca="false">IF(AF109="","",ROUND(AF109*1.05/100,0)*100)</f>
        <v/>
      </c>
      <c r="AJ109" s="38" t="str">
        <f aca="false">IF(OR(AH109="",AF109=""),"",AH109-AF109)</f>
        <v/>
      </c>
      <c r="AK109" s="39" t="str">
        <f aca="false">IF(OR(AF109="",AF109=0),"",AJ109/AF109)</f>
        <v/>
      </c>
      <c r="AL109" s="38" t="str">
        <f aca="false">IF(AJ109="","",AJ109-AM109)</f>
        <v/>
      </c>
      <c r="AM109" s="40" t="str">
        <f aca="false">IF(OR(AH109="",AF109=""),"",ROUND((AH109-AF109)/1.2*0.2,2))</f>
        <v/>
      </c>
      <c r="AN109" s="39" t="str">
        <f aca="false">IF(OR(AF109="",AF109=0),"",AL109/AF109)</f>
        <v/>
      </c>
      <c r="AO109" s="37"/>
      <c r="AP109" s="37"/>
      <c r="AQ109" s="37"/>
      <c r="AR109" s="41" t="str">
        <f aca="true">IF(OR(A109="",P109=""),"",IF(AO109&lt;&gt;"",AO109-P109,TODAY()-P109))</f>
        <v/>
      </c>
      <c r="AS109" s="37"/>
    </row>
    <row r="110" customFormat="false" ht="21.75" hidden="false" customHeight="true" outlineLevel="0" collapsed="false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3" t="str">
        <f aca="false">IF(A110="","",SUM(Y110:AE110))</f>
        <v/>
      </c>
      <c r="AG110" s="43" t="str">
        <f aca="false">IF(AF110="","",ROUND(AF110*1.2/100,0)*100)</f>
        <v/>
      </c>
      <c r="AH110" s="43"/>
      <c r="AI110" s="43" t="str">
        <f aca="false">IF(AF110="","",ROUND(AF110*1.05/100,0)*100)</f>
        <v/>
      </c>
      <c r="AJ110" s="43" t="str">
        <f aca="false">IF(OR(AH110="",AF110=""),"",AH110-AF110)</f>
        <v/>
      </c>
      <c r="AK110" s="44" t="str">
        <f aca="false">IF(OR(AF110="",AF110=0),"",AJ110/AF110)</f>
        <v/>
      </c>
      <c r="AL110" s="43" t="str">
        <f aca="false">IF(AJ110="","",AJ110-AM110)</f>
        <v/>
      </c>
      <c r="AM110" s="45" t="str">
        <f aca="false">IF(OR(AH110="",AF110=""),"",ROUND((AH110-AF110)/1.2*0.2,2))</f>
        <v/>
      </c>
      <c r="AN110" s="44" t="str">
        <f aca="false">IF(OR(AF110="",AF110=0),"",AL110/AF110)</f>
        <v/>
      </c>
      <c r="AO110" s="42"/>
      <c r="AP110" s="42"/>
      <c r="AQ110" s="42"/>
      <c r="AR110" s="46" t="str">
        <f aca="true">IF(OR(A110="",P110=""),"",IF(AO110&lt;&gt;"",AO110-P110,TODAY()-P110))</f>
        <v/>
      </c>
      <c r="AS110" s="42"/>
    </row>
    <row r="111" customFormat="false" ht="21.75" hidden="false" customHeight="true" outlineLevel="0" collapsed="false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8" t="str">
        <f aca="false">IF(A111="","",SUM(Y111:AE111))</f>
        <v/>
      </c>
      <c r="AG111" s="38" t="str">
        <f aca="false">IF(AF111="","",ROUND(AF111*1.2/100,0)*100)</f>
        <v/>
      </c>
      <c r="AH111" s="38"/>
      <c r="AI111" s="38" t="str">
        <f aca="false">IF(AF111="","",ROUND(AF111*1.05/100,0)*100)</f>
        <v/>
      </c>
      <c r="AJ111" s="38" t="str">
        <f aca="false">IF(OR(AH111="",AF111=""),"",AH111-AF111)</f>
        <v/>
      </c>
      <c r="AK111" s="39" t="str">
        <f aca="false">IF(OR(AF111="",AF111=0),"",AJ111/AF111)</f>
        <v/>
      </c>
      <c r="AL111" s="38" t="str">
        <f aca="false">IF(AJ111="","",AJ111-AM111)</f>
        <v/>
      </c>
      <c r="AM111" s="40" t="str">
        <f aca="false">IF(OR(AH111="",AF111=""),"",ROUND((AH111-AF111)/1.2*0.2,2))</f>
        <v/>
      </c>
      <c r="AN111" s="39" t="str">
        <f aca="false">IF(OR(AF111="",AF111=0),"",AL111/AF111)</f>
        <v/>
      </c>
      <c r="AO111" s="37"/>
      <c r="AP111" s="37"/>
      <c r="AQ111" s="37"/>
      <c r="AR111" s="41" t="str">
        <f aca="true">IF(OR(A111="",P111=""),"",IF(AO111&lt;&gt;"",AO111-P111,TODAY()-P111))</f>
        <v/>
      </c>
      <c r="AS111" s="37"/>
    </row>
    <row r="112" customFormat="false" ht="21.75" hidden="false" customHeight="true" outlineLevel="0" collapsed="false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3" t="str">
        <f aca="false">IF(A112="","",SUM(Y112:AE112))</f>
        <v/>
      </c>
      <c r="AG112" s="43" t="str">
        <f aca="false">IF(AF112="","",ROUND(AF112*1.2/100,0)*100)</f>
        <v/>
      </c>
      <c r="AH112" s="43"/>
      <c r="AI112" s="43" t="str">
        <f aca="false">IF(AF112="","",ROUND(AF112*1.05/100,0)*100)</f>
        <v/>
      </c>
      <c r="AJ112" s="43" t="str">
        <f aca="false">IF(OR(AH112="",AF112=""),"",AH112-AF112)</f>
        <v/>
      </c>
      <c r="AK112" s="44" t="str">
        <f aca="false">IF(OR(AF112="",AF112=0),"",AJ112/AF112)</f>
        <v/>
      </c>
      <c r="AL112" s="43" t="str">
        <f aca="false">IF(AJ112="","",AJ112-AM112)</f>
        <v/>
      </c>
      <c r="AM112" s="45" t="str">
        <f aca="false">IF(OR(AH112="",AF112=""),"",ROUND((AH112-AF112)/1.2*0.2,2))</f>
        <v/>
      </c>
      <c r="AN112" s="44" t="str">
        <f aca="false">IF(OR(AF112="",AF112=0),"",AL112/AF112)</f>
        <v/>
      </c>
      <c r="AO112" s="42"/>
      <c r="AP112" s="42"/>
      <c r="AQ112" s="42"/>
      <c r="AR112" s="46" t="str">
        <f aca="true">IF(OR(A112="",P112=""),"",IF(AO112&lt;&gt;"",AO112-P112,TODAY()-P112))</f>
        <v/>
      </c>
      <c r="AS112" s="42"/>
    </row>
    <row r="113" customFormat="false" ht="21.75" hidden="false" customHeight="true" outlineLevel="0" collapsed="false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8" t="str">
        <f aca="false">IF(A113="","",SUM(Y113:AE113))</f>
        <v/>
      </c>
      <c r="AG113" s="38" t="str">
        <f aca="false">IF(AF113="","",ROUND(AF113*1.2/100,0)*100)</f>
        <v/>
      </c>
      <c r="AH113" s="38"/>
      <c r="AI113" s="38" t="str">
        <f aca="false">IF(AF113="","",ROUND(AF113*1.05/100,0)*100)</f>
        <v/>
      </c>
      <c r="AJ113" s="38" t="str">
        <f aca="false">IF(OR(AH113="",AF113=""),"",AH113-AF113)</f>
        <v/>
      </c>
      <c r="AK113" s="39" t="str">
        <f aca="false">IF(OR(AF113="",AF113=0),"",AJ113/AF113)</f>
        <v/>
      </c>
      <c r="AL113" s="38" t="str">
        <f aca="false">IF(AJ113="","",AJ113-AM113)</f>
        <v/>
      </c>
      <c r="AM113" s="40" t="str">
        <f aca="false">IF(OR(AH113="",AF113=""),"",ROUND((AH113-AF113)/1.2*0.2,2))</f>
        <v/>
      </c>
      <c r="AN113" s="39" t="str">
        <f aca="false">IF(OR(AF113="",AF113=0),"",AL113/AF113)</f>
        <v/>
      </c>
      <c r="AO113" s="37"/>
      <c r="AP113" s="37"/>
      <c r="AQ113" s="37"/>
      <c r="AR113" s="41" t="str">
        <f aca="true">IF(OR(A113="",P113=""),"",IF(AO113&lt;&gt;"",AO113-P113,TODAY()-P113))</f>
        <v/>
      </c>
      <c r="AS113" s="37"/>
    </row>
    <row r="114" customFormat="false" ht="21.75" hidden="false" customHeight="true" outlineLevel="0" collapsed="false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3" t="str">
        <f aca="false">IF(A114="","",SUM(Y114:AE114))</f>
        <v/>
      </c>
      <c r="AG114" s="43" t="str">
        <f aca="false">IF(AF114="","",ROUND(AF114*1.2/100,0)*100)</f>
        <v/>
      </c>
      <c r="AH114" s="43"/>
      <c r="AI114" s="43" t="str">
        <f aca="false">IF(AF114="","",ROUND(AF114*1.05/100,0)*100)</f>
        <v/>
      </c>
      <c r="AJ114" s="43" t="str">
        <f aca="false">IF(OR(AH114="",AF114=""),"",AH114-AF114)</f>
        <v/>
      </c>
      <c r="AK114" s="44" t="str">
        <f aca="false">IF(OR(AF114="",AF114=0),"",AJ114/AF114)</f>
        <v/>
      </c>
      <c r="AL114" s="43" t="str">
        <f aca="false">IF(AJ114="","",AJ114-AM114)</f>
        <v/>
      </c>
      <c r="AM114" s="45" t="str">
        <f aca="false">IF(OR(AH114="",AF114=""),"",ROUND((AH114-AF114)/1.2*0.2,2))</f>
        <v/>
      </c>
      <c r="AN114" s="44" t="str">
        <f aca="false">IF(OR(AF114="",AF114=0),"",AL114/AF114)</f>
        <v/>
      </c>
      <c r="AO114" s="42"/>
      <c r="AP114" s="42"/>
      <c r="AQ114" s="42"/>
      <c r="AR114" s="46" t="str">
        <f aca="true">IF(OR(A114="",P114=""),"",IF(AO114&lt;&gt;"",AO114-P114,TODAY()-P114))</f>
        <v/>
      </c>
      <c r="AS114" s="42"/>
    </row>
    <row r="115" customFormat="false" ht="21.75" hidden="false" customHeight="true" outlineLevel="0" collapsed="false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8" t="str">
        <f aca="false">IF(A115="","",SUM(Y115:AE115))</f>
        <v/>
      </c>
      <c r="AG115" s="38" t="str">
        <f aca="false">IF(AF115="","",ROUND(AF115*1.2/100,0)*100)</f>
        <v/>
      </c>
      <c r="AH115" s="38"/>
      <c r="AI115" s="38" t="str">
        <f aca="false">IF(AF115="","",ROUND(AF115*1.05/100,0)*100)</f>
        <v/>
      </c>
      <c r="AJ115" s="38" t="str">
        <f aca="false">IF(OR(AH115="",AF115=""),"",AH115-AF115)</f>
        <v/>
      </c>
      <c r="AK115" s="39" t="str">
        <f aca="false">IF(OR(AF115="",AF115=0),"",AJ115/AF115)</f>
        <v/>
      </c>
      <c r="AL115" s="38" t="str">
        <f aca="false">IF(AJ115="","",AJ115-AM115)</f>
        <v/>
      </c>
      <c r="AM115" s="40" t="str">
        <f aca="false">IF(OR(AH115="",AF115=""),"",ROUND((AH115-AF115)/1.2*0.2,2))</f>
        <v/>
      </c>
      <c r="AN115" s="39" t="str">
        <f aca="false">IF(OR(AF115="",AF115=0),"",AL115/AF115)</f>
        <v/>
      </c>
      <c r="AO115" s="37"/>
      <c r="AP115" s="37"/>
      <c r="AQ115" s="37"/>
      <c r="AR115" s="41" t="str">
        <f aca="true">IF(OR(A115="",P115=""),"",IF(AO115&lt;&gt;"",AO115-P115,TODAY()-P115))</f>
        <v/>
      </c>
      <c r="AS115" s="37"/>
    </row>
    <row r="116" customFormat="false" ht="21.75" hidden="false" customHeight="true" outlineLevel="0" collapsed="false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3" t="str">
        <f aca="false">IF(A116="","",SUM(Y116:AE116))</f>
        <v/>
      </c>
      <c r="AG116" s="43" t="str">
        <f aca="false">IF(AF116="","",ROUND(AF116*1.2/100,0)*100)</f>
        <v/>
      </c>
      <c r="AH116" s="43"/>
      <c r="AI116" s="43" t="str">
        <f aca="false">IF(AF116="","",ROUND(AF116*1.05/100,0)*100)</f>
        <v/>
      </c>
      <c r="AJ116" s="43" t="str">
        <f aca="false">IF(OR(AH116="",AF116=""),"",AH116-AF116)</f>
        <v/>
      </c>
      <c r="AK116" s="44" t="str">
        <f aca="false">IF(OR(AF116="",AF116=0),"",AJ116/AF116)</f>
        <v/>
      </c>
      <c r="AL116" s="43" t="str">
        <f aca="false">IF(AJ116="","",AJ116-AM116)</f>
        <v/>
      </c>
      <c r="AM116" s="45" t="str">
        <f aca="false">IF(OR(AH116="",AF116=""),"",ROUND((AH116-AF116)/1.2*0.2,2))</f>
        <v/>
      </c>
      <c r="AN116" s="44" t="str">
        <f aca="false">IF(OR(AF116="",AF116=0),"",AL116/AF116)</f>
        <v/>
      </c>
      <c r="AO116" s="42"/>
      <c r="AP116" s="42"/>
      <c r="AQ116" s="42"/>
      <c r="AR116" s="46" t="str">
        <f aca="true">IF(OR(A116="",P116=""),"",IF(AO116&lt;&gt;"",AO116-P116,TODAY()-P116))</f>
        <v/>
      </c>
      <c r="AS116" s="42"/>
    </row>
    <row r="117" customFormat="false" ht="21.75" hidden="false" customHeight="true" outlineLevel="0" collapsed="false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8" t="str">
        <f aca="false">IF(A117="","",SUM(Y117:AE117))</f>
        <v/>
      </c>
      <c r="AG117" s="38" t="str">
        <f aca="false">IF(AF117="","",ROUND(AF117*1.2/100,0)*100)</f>
        <v/>
      </c>
      <c r="AH117" s="38"/>
      <c r="AI117" s="38" t="str">
        <f aca="false">IF(AF117="","",ROUND(AF117*1.05/100,0)*100)</f>
        <v/>
      </c>
      <c r="AJ117" s="38" t="str">
        <f aca="false">IF(OR(AH117="",AF117=""),"",AH117-AF117)</f>
        <v/>
      </c>
      <c r="AK117" s="39" t="str">
        <f aca="false">IF(OR(AF117="",AF117=0),"",AJ117/AF117)</f>
        <v/>
      </c>
      <c r="AL117" s="38" t="str">
        <f aca="false">IF(AJ117="","",AJ117-AM117)</f>
        <v/>
      </c>
      <c r="AM117" s="40" t="str">
        <f aca="false">IF(OR(AH117="",AF117=""),"",ROUND((AH117-AF117)/1.2*0.2,2))</f>
        <v/>
      </c>
      <c r="AN117" s="39" t="str">
        <f aca="false">IF(OR(AF117="",AF117=0),"",AL117/AF117)</f>
        <v/>
      </c>
      <c r="AO117" s="37"/>
      <c r="AP117" s="37"/>
      <c r="AQ117" s="37"/>
      <c r="AR117" s="41" t="str">
        <f aca="true">IF(OR(A117="",P117=""),"",IF(AO117&lt;&gt;"",AO117-P117,TODAY()-P117))</f>
        <v/>
      </c>
      <c r="AS117" s="37"/>
    </row>
    <row r="118" customFormat="false" ht="21.75" hidden="false" customHeight="true" outlineLevel="0" collapsed="false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3" t="str">
        <f aca="false">IF(A118="","",SUM(Y118:AE118))</f>
        <v/>
      </c>
      <c r="AG118" s="43" t="str">
        <f aca="false">IF(AF118="","",ROUND(AF118*1.2/100,0)*100)</f>
        <v/>
      </c>
      <c r="AH118" s="43"/>
      <c r="AI118" s="43" t="str">
        <f aca="false">IF(AF118="","",ROUND(AF118*1.05/100,0)*100)</f>
        <v/>
      </c>
      <c r="AJ118" s="43" t="str">
        <f aca="false">IF(OR(AH118="",AF118=""),"",AH118-AF118)</f>
        <v/>
      </c>
      <c r="AK118" s="44" t="str">
        <f aca="false">IF(OR(AF118="",AF118=0),"",AJ118/AF118)</f>
        <v/>
      </c>
      <c r="AL118" s="43" t="str">
        <f aca="false">IF(AJ118="","",AJ118-AM118)</f>
        <v/>
      </c>
      <c r="AM118" s="45" t="str">
        <f aca="false">IF(OR(AH118="",AF118=""),"",ROUND((AH118-AF118)/1.2*0.2,2))</f>
        <v/>
      </c>
      <c r="AN118" s="44" t="str">
        <f aca="false">IF(OR(AF118="",AF118=0),"",AL118/AF118)</f>
        <v/>
      </c>
      <c r="AO118" s="42"/>
      <c r="AP118" s="42"/>
      <c r="AQ118" s="42"/>
      <c r="AR118" s="46" t="str">
        <f aca="true">IF(OR(A118="",P118=""),"",IF(AO118&lt;&gt;"",AO118-P118,TODAY()-P118))</f>
        <v/>
      </c>
      <c r="AS118" s="42"/>
    </row>
    <row r="119" customFormat="false" ht="21.75" hidden="false" customHeight="true" outlineLevel="0" collapsed="false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8" t="str">
        <f aca="false">IF(A119="","",SUM(Y119:AE119))</f>
        <v/>
      </c>
      <c r="AG119" s="38" t="str">
        <f aca="false">IF(AF119="","",ROUND(AF119*1.2/100,0)*100)</f>
        <v/>
      </c>
      <c r="AH119" s="38"/>
      <c r="AI119" s="38" t="str">
        <f aca="false">IF(AF119="","",ROUND(AF119*1.05/100,0)*100)</f>
        <v/>
      </c>
      <c r="AJ119" s="38" t="str">
        <f aca="false">IF(OR(AH119="",AF119=""),"",AH119-AF119)</f>
        <v/>
      </c>
      <c r="AK119" s="39" t="str">
        <f aca="false">IF(OR(AF119="",AF119=0),"",AJ119/AF119)</f>
        <v/>
      </c>
      <c r="AL119" s="38" t="str">
        <f aca="false">IF(AJ119="","",AJ119-AM119)</f>
        <v/>
      </c>
      <c r="AM119" s="40" t="str">
        <f aca="false">IF(OR(AH119="",AF119=""),"",ROUND((AH119-AF119)/1.2*0.2,2))</f>
        <v/>
      </c>
      <c r="AN119" s="39" t="str">
        <f aca="false">IF(OR(AF119="",AF119=0),"",AL119/AF119)</f>
        <v/>
      </c>
      <c r="AO119" s="37"/>
      <c r="AP119" s="37"/>
      <c r="AQ119" s="37"/>
      <c r="AR119" s="41" t="str">
        <f aca="true">IF(OR(A119="",P119=""),"",IF(AO119&lt;&gt;"",AO119-P119,TODAY()-P119))</f>
        <v/>
      </c>
      <c r="AS119" s="37"/>
    </row>
    <row r="120" customFormat="false" ht="21.75" hidden="false" customHeight="true" outlineLevel="0" collapsed="false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3" t="str">
        <f aca="false">IF(A120="","",SUM(Y120:AE120))</f>
        <v/>
      </c>
      <c r="AG120" s="43" t="str">
        <f aca="false">IF(AF120="","",ROUND(AF120*1.2/100,0)*100)</f>
        <v/>
      </c>
      <c r="AH120" s="43"/>
      <c r="AI120" s="43" t="str">
        <f aca="false">IF(AF120="","",ROUND(AF120*1.05/100,0)*100)</f>
        <v/>
      </c>
      <c r="AJ120" s="43" t="str">
        <f aca="false">IF(OR(AH120="",AF120=""),"",AH120-AF120)</f>
        <v/>
      </c>
      <c r="AK120" s="44" t="str">
        <f aca="false">IF(OR(AF120="",AF120=0),"",AJ120/AF120)</f>
        <v/>
      </c>
      <c r="AL120" s="43" t="str">
        <f aca="false">IF(AJ120="","",AJ120-AM120)</f>
        <v/>
      </c>
      <c r="AM120" s="45" t="str">
        <f aca="false">IF(OR(AH120="",AF120=""),"",ROUND((AH120-AF120)/1.2*0.2,2))</f>
        <v/>
      </c>
      <c r="AN120" s="44" t="str">
        <f aca="false">IF(OR(AF120="",AF120=0),"",AL120/AF120)</f>
        <v/>
      </c>
      <c r="AO120" s="42"/>
      <c r="AP120" s="42"/>
      <c r="AQ120" s="42"/>
      <c r="AR120" s="46" t="str">
        <f aca="true">IF(OR(A120="",P120=""),"",IF(AO120&lt;&gt;"",AO120-P120,TODAY()-P120))</f>
        <v/>
      </c>
      <c r="AS120" s="42"/>
    </row>
    <row r="121" customFormat="false" ht="21.75" hidden="false" customHeight="true" outlineLevel="0" collapsed="false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8" t="str">
        <f aca="false">IF(A121="","",SUM(Y121:AE121))</f>
        <v/>
      </c>
      <c r="AG121" s="38" t="str">
        <f aca="false">IF(AF121="","",ROUND(AF121*1.2/100,0)*100)</f>
        <v/>
      </c>
      <c r="AH121" s="38"/>
      <c r="AI121" s="38" t="str">
        <f aca="false">IF(AF121="","",ROUND(AF121*1.05/100,0)*100)</f>
        <v/>
      </c>
      <c r="AJ121" s="38" t="str">
        <f aca="false">IF(OR(AH121="",AF121=""),"",AH121-AF121)</f>
        <v/>
      </c>
      <c r="AK121" s="39" t="str">
        <f aca="false">IF(OR(AF121="",AF121=0),"",AJ121/AF121)</f>
        <v/>
      </c>
      <c r="AL121" s="38" t="str">
        <f aca="false">IF(AJ121="","",AJ121-AM121)</f>
        <v/>
      </c>
      <c r="AM121" s="40" t="str">
        <f aca="false">IF(OR(AH121="",AF121=""),"",ROUND((AH121-AF121)/1.2*0.2,2))</f>
        <v/>
      </c>
      <c r="AN121" s="39" t="str">
        <f aca="false">IF(OR(AF121="",AF121=0),"",AL121/AF121)</f>
        <v/>
      </c>
      <c r="AO121" s="37"/>
      <c r="AP121" s="37"/>
      <c r="AQ121" s="37"/>
      <c r="AR121" s="41" t="str">
        <f aca="true">IF(OR(A121="",P121=""),"",IF(AO121&lt;&gt;"",AO121-P121,TODAY()-P121))</f>
        <v/>
      </c>
      <c r="AS121" s="37"/>
    </row>
    <row r="122" customFormat="false" ht="21.75" hidden="false" customHeight="true" outlineLevel="0" collapsed="false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3" t="str">
        <f aca="false">IF(A122="","",SUM(Y122:AE122))</f>
        <v/>
      </c>
      <c r="AG122" s="43" t="str">
        <f aca="false">IF(AF122="","",ROUND(AF122*1.2/100,0)*100)</f>
        <v/>
      </c>
      <c r="AH122" s="43"/>
      <c r="AI122" s="43" t="str">
        <f aca="false">IF(AF122="","",ROUND(AF122*1.05/100,0)*100)</f>
        <v/>
      </c>
      <c r="AJ122" s="43" t="str">
        <f aca="false">IF(OR(AH122="",AF122=""),"",AH122-AF122)</f>
        <v/>
      </c>
      <c r="AK122" s="44" t="str">
        <f aca="false">IF(OR(AF122="",AF122=0),"",AJ122/AF122)</f>
        <v/>
      </c>
      <c r="AL122" s="43" t="str">
        <f aca="false">IF(AJ122="","",AJ122-AM122)</f>
        <v/>
      </c>
      <c r="AM122" s="45" t="str">
        <f aca="false">IF(OR(AH122="",AF122=""),"",ROUND((AH122-AF122)/1.2*0.2,2))</f>
        <v/>
      </c>
      <c r="AN122" s="44" t="str">
        <f aca="false">IF(OR(AF122="",AF122=0),"",AL122/AF122)</f>
        <v/>
      </c>
      <c r="AO122" s="42"/>
      <c r="AP122" s="42"/>
      <c r="AQ122" s="42"/>
      <c r="AR122" s="46" t="str">
        <f aca="true">IF(OR(A122="",P122=""),"",IF(AO122&lt;&gt;"",AO122-P122,TODAY()-P122))</f>
        <v/>
      </c>
      <c r="AS122" s="42"/>
    </row>
    <row r="123" customFormat="false" ht="21.75" hidden="false" customHeight="true" outlineLevel="0" collapsed="false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8" t="str">
        <f aca="false">IF(A123="","",SUM(Y123:AE123))</f>
        <v/>
      </c>
      <c r="AG123" s="38" t="str">
        <f aca="false">IF(AF123="","",ROUND(AF123*1.2/100,0)*100)</f>
        <v/>
      </c>
      <c r="AH123" s="38"/>
      <c r="AI123" s="38" t="str">
        <f aca="false">IF(AF123="","",ROUND(AF123*1.05/100,0)*100)</f>
        <v/>
      </c>
      <c r="AJ123" s="38" t="str">
        <f aca="false">IF(OR(AH123="",AF123=""),"",AH123-AF123)</f>
        <v/>
      </c>
      <c r="AK123" s="39" t="str">
        <f aca="false">IF(OR(AF123="",AF123=0),"",AJ123/AF123)</f>
        <v/>
      </c>
      <c r="AL123" s="38" t="str">
        <f aca="false">IF(AJ123="","",AJ123-AM123)</f>
        <v/>
      </c>
      <c r="AM123" s="40" t="str">
        <f aca="false">IF(OR(AH123="",AF123=""),"",ROUND((AH123-AF123)/1.2*0.2,2))</f>
        <v/>
      </c>
      <c r="AN123" s="39" t="str">
        <f aca="false">IF(OR(AF123="",AF123=0),"",AL123/AF123)</f>
        <v/>
      </c>
      <c r="AO123" s="37"/>
      <c r="AP123" s="37"/>
      <c r="AQ123" s="37"/>
      <c r="AR123" s="41" t="str">
        <f aca="true">IF(OR(A123="",P123=""),"",IF(AO123&lt;&gt;"",AO123-P123,TODAY()-P123))</f>
        <v/>
      </c>
      <c r="AS123" s="37"/>
    </row>
    <row r="124" customFormat="false" ht="21.75" hidden="false" customHeight="true" outlineLevel="0" collapsed="false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3" t="str">
        <f aca="false">IF(A124="","",SUM(Y124:AE124))</f>
        <v/>
      </c>
      <c r="AG124" s="43" t="str">
        <f aca="false">IF(AF124="","",ROUND(AF124*1.2/100,0)*100)</f>
        <v/>
      </c>
      <c r="AH124" s="43"/>
      <c r="AI124" s="43" t="str">
        <f aca="false">IF(AF124="","",ROUND(AF124*1.05/100,0)*100)</f>
        <v/>
      </c>
      <c r="AJ124" s="43" t="str">
        <f aca="false">IF(OR(AH124="",AF124=""),"",AH124-AF124)</f>
        <v/>
      </c>
      <c r="AK124" s="44" t="str">
        <f aca="false">IF(OR(AF124="",AF124=0),"",AJ124/AF124)</f>
        <v/>
      </c>
      <c r="AL124" s="43" t="str">
        <f aca="false">IF(AJ124="","",AJ124-AM124)</f>
        <v/>
      </c>
      <c r="AM124" s="45" t="str">
        <f aca="false">IF(OR(AH124="",AF124=""),"",ROUND((AH124-AF124)/1.2*0.2,2))</f>
        <v/>
      </c>
      <c r="AN124" s="44" t="str">
        <f aca="false">IF(OR(AF124="",AF124=0),"",AL124/AF124)</f>
        <v/>
      </c>
      <c r="AO124" s="42"/>
      <c r="AP124" s="42"/>
      <c r="AQ124" s="42"/>
      <c r="AR124" s="46" t="str">
        <f aca="true">IF(OR(A124="",P124=""),"",IF(AO124&lt;&gt;"",AO124-P124,TODAY()-P124))</f>
        <v/>
      </c>
      <c r="AS124" s="42"/>
    </row>
    <row r="125" customFormat="false" ht="21.75" hidden="false" customHeight="true" outlineLevel="0" collapsed="false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8" t="str">
        <f aca="false">IF(A125="","",SUM(Y125:AE125))</f>
        <v/>
      </c>
      <c r="AG125" s="38" t="str">
        <f aca="false">IF(AF125="","",ROUND(AF125*1.2/100,0)*100)</f>
        <v/>
      </c>
      <c r="AH125" s="38"/>
      <c r="AI125" s="38" t="str">
        <f aca="false">IF(AF125="","",ROUND(AF125*1.05/100,0)*100)</f>
        <v/>
      </c>
      <c r="AJ125" s="38" t="str">
        <f aca="false">IF(OR(AH125="",AF125=""),"",AH125-AF125)</f>
        <v/>
      </c>
      <c r="AK125" s="39" t="str">
        <f aca="false">IF(OR(AF125="",AF125=0),"",AJ125/AF125)</f>
        <v/>
      </c>
      <c r="AL125" s="38" t="str">
        <f aca="false">IF(AJ125="","",AJ125-AM125)</f>
        <v/>
      </c>
      <c r="AM125" s="40" t="str">
        <f aca="false">IF(OR(AH125="",AF125=""),"",ROUND((AH125-AF125)/1.2*0.2,2))</f>
        <v/>
      </c>
      <c r="AN125" s="39" t="str">
        <f aca="false">IF(OR(AF125="",AF125=0),"",AL125/AF125)</f>
        <v/>
      </c>
      <c r="AO125" s="37"/>
      <c r="AP125" s="37"/>
      <c r="AQ125" s="37"/>
      <c r="AR125" s="41" t="str">
        <f aca="true">IF(OR(A125="",P125=""),"",IF(AO125&lt;&gt;"",AO125-P125,TODAY()-P125))</f>
        <v/>
      </c>
      <c r="AS125" s="37"/>
    </row>
    <row r="126" customFormat="false" ht="21.75" hidden="false" customHeight="true" outlineLevel="0" collapsed="false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3" t="str">
        <f aca="false">IF(A126="","",SUM(Y126:AE126))</f>
        <v/>
      </c>
      <c r="AG126" s="43" t="str">
        <f aca="false">IF(AF126="","",ROUND(AF126*1.2/100,0)*100)</f>
        <v/>
      </c>
      <c r="AH126" s="43"/>
      <c r="AI126" s="43" t="str">
        <f aca="false">IF(AF126="","",ROUND(AF126*1.05/100,0)*100)</f>
        <v/>
      </c>
      <c r="AJ126" s="43" t="str">
        <f aca="false">IF(OR(AH126="",AF126=""),"",AH126-AF126)</f>
        <v/>
      </c>
      <c r="AK126" s="44" t="str">
        <f aca="false">IF(OR(AF126="",AF126=0),"",AJ126/AF126)</f>
        <v/>
      </c>
      <c r="AL126" s="43" t="str">
        <f aca="false">IF(AJ126="","",AJ126-AM126)</f>
        <v/>
      </c>
      <c r="AM126" s="45" t="str">
        <f aca="false">IF(OR(AH126="",AF126=""),"",ROUND((AH126-AF126)/1.2*0.2,2))</f>
        <v/>
      </c>
      <c r="AN126" s="44" t="str">
        <f aca="false">IF(OR(AF126="",AF126=0),"",AL126/AF126)</f>
        <v/>
      </c>
      <c r="AO126" s="42"/>
      <c r="AP126" s="42"/>
      <c r="AQ126" s="42"/>
      <c r="AR126" s="46" t="str">
        <f aca="true">IF(OR(A126="",P126=""),"",IF(AO126&lt;&gt;"",AO126-P126,TODAY()-P126))</f>
        <v/>
      </c>
      <c r="AS126" s="42"/>
    </row>
    <row r="127" customFormat="false" ht="21.75" hidden="false" customHeight="true" outlineLevel="0" collapsed="false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8" t="str">
        <f aca="false">IF(A127="","",SUM(Y127:AE127))</f>
        <v/>
      </c>
      <c r="AG127" s="38" t="str">
        <f aca="false">IF(AF127="","",ROUND(AF127*1.2/100,0)*100)</f>
        <v/>
      </c>
      <c r="AH127" s="38"/>
      <c r="AI127" s="38" t="str">
        <f aca="false">IF(AF127="","",ROUND(AF127*1.05/100,0)*100)</f>
        <v/>
      </c>
      <c r="AJ127" s="38" t="str">
        <f aca="false">IF(OR(AH127="",AF127=""),"",AH127-AF127)</f>
        <v/>
      </c>
      <c r="AK127" s="39" t="str">
        <f aca="false">IF(OR(AF127="",AF127=0),"",AJ127/AF127)</f>
        <v/>
      </c>
      <c r="AL127" s="38" t="str">
        <f aca="false">IF(AJ127="","",AJ127-AM127)</f>
        <v/>
      </c>
      <c r="AM127" s="40" t="str">
        <f aca="false">IF(OR(AH127="",AF127=""),"",ROUND((AH127-AF127)/1.2*0.2,2))</f>
        <v/>
      </c>
      <c r="AN127" s="39" t="str">
        <f aca="false">IF(OR(AF127="",AF127=0),"",AL127/AF127)</f>
        <v/>
      </c>
      <c r="AO127" s="37"/>
      <c r="AP127" s="37"/>
      <c r="AQ127" s="37"/>
      <c r="AR127" s="41" t="str">
        <f aca="true">IF(OR(A127="",P127=""),"",IF(AO127&lt;&gt;"",AO127-P127,TODAY()-P127))</f>
        <v/>
      </c>
      <c r="AS127" s="37"/>
    </row>
    <row r="128" customFormat="false" ht="21.75" hidden="false" customHeight="true" outlineLevel="0" collapsed="false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3" t="str">
        <f aca="false">IF(A128="","",SUM(Y128:AE128))</f>
        <v/>
      </c>
      <c r="AG128" s="43" t="str">
        <f aca="false">IF(AF128="","",ROUND(AF128*1.2/100,0)*100)</f>
        <v/>
      </c>
      <c r="AH128" s="43"/>
      <c r="AI128" s="43" t="str">
        <f aca="false">IF(AF128="","",ROUND(AF128*1.05/100,0)*100)</f>
        <v/>
      </c>
      <c r="AJ128" s="43" t="str">
        <f aca="false">IF(OR(AH128="",AF128=""),"",AH128-AF128)</f>
        <v/>
      </c>
      <c r="AK128" s="44" t="str">
        <f aca="false">IF(OR(AF128="",AF128=0),"",AJ128/AF128)</f>
        <v/>
      </c>
      <c r="AL128" s="43" t="str">
        <f aca="false">IF(AJ128="","",AJ128-AM128)</f>
        <v/>
      </c>
      <c r="AM128" s="45" t="str">
        <f aca="false">IF(OR(AH128="",AF128=""),"",ROUND((AH128-AF128)/1.2*0.2,2))</f>
        <v/>
      </c>
      <c r="AN128" s="44" t="str">
        <f aca="false">IF(OR(AF128="",AF128=0),"",AL128/AF128)</f>
        <v/>
      </c>
      <c r="AO128" s="42"/>
      <c r="AP128" s="42"/>
      <c r="AQ128" s="42"/>
      <c r="AR128" s="46" t="str">
        <f aca="true">IF(OR(A128="",P128=""),"",IF(AO128&lt;&gt;"",AO128-P128,TODAY()-P128))</f>
        <v/>
      </c>
      <c r="AS128" s="42"/>
    </row>
    <row r="129" customFormat="false" ht="21.75" hidden="false" customHeight="true" outlineLevel="0" collapsed="false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8" t="str">
        <f aca="false">IF(A129="","",SUM(Y129:AE129))</f>
        <v/>
      </c>
      <c r="AG129" s="38" t="str">
        <f aca="false">IF(AF129="","",ROUND(AF129*1.2/100,0)*100)</f>
        <v/>
      </c>
      <c r="AH129" s="38"/>
      <c r="AI129" s="38" t="str">
        <f aca="false">IF(AF129="","",ROUND(AF129*1.05/100,0)*100)</f>
        <v/>
      </c>
      <c r="AJ129" s="38" t="str">
        <f aca="false">IF(OR(AH129="",AF129=""),"",AH129-AF129)</f>
        <v/>
      </c>
      <c r="AK129" s="39" t="str">
        <f aca="false">IF(OR(AF129="",AF129=0),"",AJ129/AF129)</f>
        <v/>
      </c>
      <c r="AL129" s="38" t="str">
        <f aca="false">IF(AJ129="","",AJ129-AM129)</f>
        <v/>
      </c>
      <c r="AM129" s="40" t="str">
        <f aca="false">IF(OR(AH129="",AF129=""),"",ROUND((AH129-AF129)/1.2*0.2,2))</f>
        <v/>
      </c>
      <c r="AN129" s="39" t="str">
        <f aca="false">IF(OR(AF129="",AF129=0),"",AL129/AF129)</f>
        <v/>
      </c>
      <c r="AO129" s="37"/>
      <c r="AP129" s="37"/>
      <c r="AQ129" s="37"/>
      <c r="AR129" s="41" t="str">
        <f aca="true">IF(OR(A129="",P129=""),"",IF(AO129&lt;&gt;"",AO129-P129,TODAY()-P129))</f>
        <v/>
      </c>
      <c r="AS129" s="37"/>
    </row>
    <row r="130" customFormat="false" ht="21.75" hidden="false" customHeight="true" outlineLevel="0" collapsed="false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3" t="str">
        <f aca="false">IF(A130="","",SUM(Y130:AE130))</f>
        <v/>
      </c>
      <c r="AG130" s="43" t="str">
        <f aca="false">IF(AF130="","",ROUND(AF130*1.2/100,0)*100)</f>
        <v/>
      </c>
      <c r="AH130" s="43"/>
      <c r="AI130" s="43" t="str">
        <f aca="false">IF(AF130="","",ROUND(AF130*1.05/100,0)*100)</f>
        <v/>
      </c>
      <c r="AJ130" s="43" t="str">
        <f aca="false">IF(OR(AH130="",AF130=""),"",AH130-AF130)</f>
        <v/>
      </c>
      <c r="AK130" s="44" t="str">
        <f aca="false">IF(OR(AF130="",AF130=0),"",AJ130/AF130)</f>
        <v/>
      </c>
      <c r="AL130" s="43" t="str">
        <f aca="false">IF(AJ130="","",AJ130-AM130)</f>
        <v/>
      </c>
      <c r="AM130" s="45" t="str">
        <f aca="false">IF(OR(AH130="",AF130=""),"",ROUND((AH130-AF130)/1.2*0.2,2))</f>
        <v/>
      </c>
      <c r="AN130" s="44" t="str">
        <f aca="false">IF(OR(AF130="",AF130=0),"",AL130/AF130)</f>
        <v/>
      </c>
      <c r="AO130" s="42"/>
      <c r="AP130" s="42"/>
      <c r="AQ130" s="42"/>
      <c r="AR130" s="46" t="str">
        <f aca="true">IF(OR(A130="",P130=""),"",IF(AO130&lt;&gt;"",AO130-P130,TODAY()-P130))</f>
        <v/>
      </c>
      <c r="AS130" s="42"/>
    </row>
    <row r="131" customFormat="false" ht="21.75" hidden="false" customHeight="true" outlineLevel="0" collapsed="false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8" t="str">
        <f aca="false">IF(A131="","",SUM(Y131:AE131))</f>
        <v/>
      </c>
      <c r="AG131" s="38" t="str">
        <f aca="false">IF(AF131="","",ROUND(AF131*1.2/100,0)*100)</f>
        <v/>
      </c>
      <c r="AH131" s="38"/>
      <c r="AI131" s="38" t="str">
        <f aca="false">IF(AF131="","",ROUND(AF131*1.05/100,0)*100)</f>
        <v/>
      </c>
      <c r="AJ131" s="38" t="str">
        <f aca="false">IF(OR(AH131="",AF131=""),"",AH131-AF131)</f>
        <v/>
      </c>
      <c r="AK131" s="39" t="str">
        <f aca="false">IF(OR(AF131="",AF131=0),"",AJ131/AF131)</f>
        <v/>
      </c>
      <c r="AL131" s="38" t="str">
        <f aca="false">IF(AJ131="","",AJ131-AM131)</f>
        <v/>
      </c>
      <c r="AM131" s="40" t="str">
        <f aca="false">IF(OR(AH131="",AF131=""),"",ROUND((AH131-AF131)/1.2*0.2,2))</f>
        <v/>
      </c>
      <c r="AN131" s="39" t="str">
        <f aca="false">IF(OR(AF131="",AF131=0),"",AL131/AF131)</f>
        <v/>
      </c>
      <c r="AO131" s="37"/>
      <c r="AP131" s="37"/>
      <c r="AQ131" s="37"/>
      <c r="AR131" s="41" t="str">
        <f aca="true">IF(OR(A131="",P131=""),"",IF(AO131&lt;&gt;"",AO131-P131,TODAY()-P131))</f>
        <v/>
      </c>
      <c r="AS131" s="37"/>
    </row>
    <row r="132" customFormat="false" ht="21.75" hidden="false" customHeight="true" outlineLevel="0" collapsed="false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3" t="str">
        <f aca="false">IF(A132="","",SUM(Y132:AE132))</f>
        <v/>
      </c>
      <c r="AG132" s="43" t="str">
        <f aca="false">IF(AF132="","",ROUND(AF132*1.2/100,0)*100)</f>
        <v/>
      </c>
      <c r="AH132" s="43"/>
      <c r="AI132" s="43" t="str">
        <f aca="false">IF(AF132="","",ROUND(AF132*1.05/100,0)*100)</f>
        <v/>
      </c>
      <c r="AJ132" s="43" t="str">
        <f aca="false">IF(OR(AH132="",AF132=""),"",AH132-AF132)</f>
        <v/>
      </c>
      <c r="AK132" s="44" t="str">
        <f aca="false">IF(OR(AF132="",AF132=0),"",AJ132/AF132)</f>
        <v/>
      </c>
      <c r="AL132" s="43" t="str">
        <f aca="false">IF(AJ132="","",AJ132-AM132)</f>
        <v/>
      </c>
      <c r="AM132" s="45" t="str">
        <f aca="false">IF(OR(AH132="",AF132=""),"",ROUND((AH132-AF132)/1.2*0.2,2))</f>
        <v/>
      </c>
      <c r="AN132" s="44" t="str">
        <f aca="false">IF(OR(AF132="",AF132=0),"",AL132/AF132)</f>
        <v/>
      </c>
      <c r="AO132" s="42"/>
      <c r="AP132" s="42"/>
      <c r="AQ132" s="42"/>
      <c r="AR132" s="46" t="str">
        <f aca="true">IF(OR(A132="",P132=""),"",IF(AO132&lt;&gt;"",AO132-P132,TODAY()-P132))</f>
        <v/>
      </c>
      <c r="AS132" s="42"/>
    </row>
    <row r="133" customFormat="false" ht="21.75" hidden="false" customHeight="true" outlineLevel="0" collapsed="false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8" t="str">
        <f aca="false">IF(A133="","",SUM(Y133:AE133))</f>
        <v/>
      </c>
      <c r="AG133" s="38" t="str">
        <f aca="false">IF(AF133="","",ROUND(AF133*1.2/100,0)*100)</f>
        <v/>
      </c>
      <c r="AH133" s="38"/>
      <c r="AI133" s="38" t="str">
        <f aca="false">IF(AF133="","",ROUND(AF133*1.05/100,0)*100)</f>
        <v/>
      </c>
      <c r="AJ133" s="38" t="str">
        <f aca="false">IF(OR(AH133="",AF133=""),"",AH133-AF133)</f>
        <v/>
      </c>
      <c r="AK133" s="39" t="str">
        <f aca="false">IF(OR(AF133="",AF133=0),"",AJ133/AF133)</f>
        <v/>
      </c>
      <c r="AL133" s="38" t="str">
        <f aca="false">IF(AJ133="","",AJ133-AM133)</f>
        <v/>
      </c>
      <c r="AM133" s="40" t="str">
        <f aca="false">IF(OR(AH133="",AF133=""),"",ROUND((AH133-AF133)/1.2*0.2,2))</f>
        <v/>
      </c>
      <c r="AN133" s="39" t="str">
        <f aca="false">IF(OR(AF133="",AF133=0),"",AL133/AF133)</f>
        <v/>
      </c>
      <c r="AO133" s="37"/>
      <c r="AP133" s="37"/>
      <c r="AQ133" s="37"/>
      <c r="AR133" s="41" t="str">
        <f aca="true">IF(OR(A133="",P133=""),"",IF(AO133&lt;&gt;"",AO133-P133,TODAY()-P133))</f>
        <v/>
      </c>
      <c r="AS133" s="37"/>
    </row>
    <row r="134" customFormat="false" ht="21.75" hidden="false" customHeight="true" outlineLevel="0" collapsed="false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3" t="str">
        <f aca="false">IF(A134="","",SUM(Y134:AE134))</f>
        <v/>
      </c>
      <c r="AG134" s="43" t="str">
        <f aca="false">IF(AF134="","",ROUND(AF134*1.2/100,0)*100)</f>
        <v/>
      </c>
      <c r="AH134" s="43"/>
      <c r="AI134" s="43" t="str">
        <f aca="false">IF(AF134="","",ROUND(AF134*1.05/100,0)*100)</f>
        <v/>
      </c>
      <c r="AJ134" s="43" t="str">
        <f aca="false">IF(OR(AH134="",AF134=""),"",AH134-AF134)</f>
        <v/>
      </c>
      <c r="AK134" s="44" t="str">
        <f aca="false">IF(OR(AF134="",AF134=0),"",AJ134/AF134)</f>
        <v/>
      </c>
      <c r="AL134" s="43" t="str">
        <f aca="false">IF(AJ134="","",AJ134-AM134)</f>
        <v/>
      </c>
      <c r="AM134" s="45" t="str">
        <f aca="false">IF(OR(AH134="",AF134=""),"",ROUND((AH134-AF134)/1.2*0.2,2))</f>
        <v/>
      </c>
      <c r="AN134" s="44" t="str">
        <f aca="false">IF(OR(AF134="",AF134=0),"",AL134/AF134)</f>
        <v/>
      </c>
      <c r="AO134" s="42"/>
      <c r="AP134" s="42"/>
      <c r="AQ134" s="42"/>
      <c r="AR134" s="46" t="str">
        <f aca="true">IF(OR(A134="",P134=""),"",IF(AO134&lt;&gt;"",AO134-P134,TODAY()-P134))</f>
        <v/>
      </c>
      <c r="AS134" s="42"/>
    </row>
    <row r="135" customFormat="false" ht="21.75" hidden="false" customHeight="true" outlineLevel="0" collapsed="false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8" t="str">
        <f aca="false">IF(A135="","",SUM(Y135:AE135))</f>
        <v/>
      </c>
      <c r="AG135" s="38" t="str">
        <f aca="false">IF(AF135="","",ROUND(AF135*1.2/100,0)*100)</f>
        <v/>
      </c>
      <c r="AH135" s="38"/>
      <c r="AI135" s="38" t="str">
        <f aca="false">IF(AF135="","",ROUND(AF135*1.05/100,0)*100)</f>
        <v/>
      </c>
      <c r="AJ135" s="38" t="str">
        <f aca="false">IF(OR(AH135="",AF135=""),"",AH135-AF135)</f>
        <v/>
      </c>
      <c r="AK135" s="39" t="str">
        <f aca="false">IF(OR(AF135="",AF135=0),"",AJ135/AF135)</f>
        <v/>
      </c>
      <c r="AL135" s="38" t="str">
        <f aca="false">IF(AJ135="","",AJ135-AM135)</f>
        <v/>
      </c>
      <c r="AM135" s="40" t="str">
        <f aca="false">IF(OR(AH135="",AF135=""),"",ROUND((AH135-AF135)/1.2*0.2,2))</f>
        <v/>
      </c>
      <c r="AN135" s="39" t="str">
        <f aca="false">IF(OR(AF135="",AF135=0),"",AL135/AF135)</f>
        <v/>
      </c>
      <c r="AO135" s="37"/>
      <c r="AP135" s="37"/>
      <c r="AQ135" s="37"/>
      <c r="AR135" s="41" t="str">
        <f aca="true">IF(OR(A135="",P135=""),"",IF(AO135&lt;&gt;"",AO135-P135,TODAY()-P135))</f>
        <v/>
      </c>
      <c r="AS135" s="37"/>
    </row>
    <row r="136" customFormat="false" ht="21.75" hidden="false" customHeight="true" outlineLevel="0" collapsed="false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3" t="str">
        <f aca="false">IF(A136="","",SUM(Y136:AE136))</f>
        <v/>
      </c>
      <c r="AG136" s="43" t="str">
        <f aca="false">IF(AF136="","",ROUND(AF136*1.2/100,0)*100)</f>
        <v/>
      </c>
      <c r="AH136" s="43"/>
      <c r="AI136" s="43" t="str">
        <f aca="false">IF(AF136="","",ROUND(AF136*1.05/100,0)*100)</f>
        <v/>
      </c>
      <c r="AJ136" s="43" t="str">
        <f aca="false">IF(OR(AH136="",AF136=""),"",AH136-AF136)</f>
        <v/>
      </c>
      <c r="AK136" s="44" t="str">
        <f aca="false">IF(OR(AF136="",AF136=0),"",AJ136/AF136)</f>
        <v/>
      </c>
      <c r="AL136" s="43" t="str">
        <f aca="false">IF(AJ136="","",AJ136-AM136)</f>
        <v/>
      </c>
      <c r="AM136" s="45" t="str">
        <f aca="false">IF(OR(AH136="",AF136=""),"",ROUND((AH136-AF136)/1.2*0.2,2))</f>
        <v/>
      </c>
      <c r="AN136" s="44" t="str">
        <f aca="false">IF(OR(AF136="",AF136=0),"",AL136/AF136)</f>
        <v/>
      </c>
      <c r="AO136" s="42"/>
      <c r="AP136" s="42"/>
      <c r="AQ136" s="42"/>
      <c r="AR136" s="46" t="str">
        <f aca="true">IF(OR(A136="",P136=""),"",IF(AO136&lt;&gt;"",AO136-P136,TODAY()-P136))</f>
        <v/>
      </c>
      <c r="AS136" s="42"/>
    </row>
    <row r="137" customFormat="false" ht="21.75" hidden="false" customHeight="true" outlineLevel="0" collapsed="false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8" t="str">
        <f aca="false">IF(A137="","",SUM(Y137:AE137))</f>
        <v/>
      </c>
      <c r="AG137" s="38" t="str">
        <f aca="false">IF(AF137="","",ROUND(AF137*1.2/100,0)*100)</f>
        <v/>
      </c>
      <c r="AH137" s="38"/>
      <c r="AI137" s="38" t="str">
        <f aca="false">IF(AF137="","",ROUND(AF137*1.05/100,0)*100)</f>
        <v/>
      </c>
      <c r="AJ137" s="38" t="str">
        <f aca="false">IF(OR(AH137="",AF137=""),"",AH137-AF137)</f>
        <v/>
      </c>
      <c r="AK137" s="39" t="str">
        <f aca="false">IF(OR(AF137="",AF137=0),"",AJ137/AF137)</f>
        <v/>
      </c>
      <c r="AL137" s="38" t="str">
        <f aca="false">IF(AJ137="","",AJ137-AM137)</f>
        <v/>
      </c>
      <c r="AM137" s="40" t="str">
        <f aca="false">IF(OR(AH137="",AF137=""),"",ROUND((AH137-AF137)/1.2*0.2,2))</f>
        <v/>
      </c>
      <c r="AN137" s="39" t="str">
        <f aca="false">IF(OR(AF137="",AF137=0),"",AL137/AF137)</f>
        <v/>
      </c>
      <c r="AO137" s="37"/>
      <c r="AP137" s="37"/>
      <c r="AQ137" s="37"/>
      <c r="AR137" s="41" t="str">
        <f aca="true">IF(OR(A137="",P137=""),"",IF(AO137&lt;&gt;"",AO137-P137,TODAY()-P137))</f>
        <v/>
      </c>
      <c r="AS137" s="37"/>
    </row>
    <row r="138" customFormat="false" ht="21.75" hidden="false" customHeight="true" outlineLevel="0" collapsed="false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3" t="str">
        <f aca="false">IF(A138="","",SUM(Y138:AE138))</f>
        <v/>
      </c>
      <c r="AG138" s="43" t="str">
        <f aca="false">IF(AF138="","",ROUND(AF138*1.2/100,0)*100)</f>
        <v/>
      </c>
      <c r="AH138" s="43"/>
      <c r="AI138" s="43" t="str">
        <f aca="false">IF(AF138="","",ROUND(AF138*1.05/100,0)*100)</f>
        <v/>
      </c>
      <c r="AJ138" s="43" t="str">
        <f aca="false">IF(OR(AH138="",AF138=""),"",AH138-AF138)</f>
        <v/>
      </c>
      <c r="AK138" s="44" t="str">
        <f aca="false">IF(OR(AF138="",AF138=0),"",AJ138/AF138)</f>
        <v/>
      </c>
      <c r="AL138" s="43" t="str">
        <f aca="false">IF(AJ138="","",AJ138-AM138)</f>
        <v/>
      </c>
      <c r="AM138" s="45" t="str">
        <f aca="false">IF(OR(AH138="",AF138=""),"",ROUND((AH138-AF138)/1.2*0.2,2))</f>
        <v/>
      </c>
      <c r="AN138" s="44" t="str">
        <f aca="false">IF(OR(AF138="",AF138=0),"",AL138/AF138)</f>
        <v/>
      </c>
      <c r="AO138" s="42"/>
      <c r="AP138" s="42"/>
      <c r="AQ138" s="42"/>
      <c r="AR138" s="46" t="str">
        <f aca="true">IF(OR(A138="",P138=""),"",IF(AO138&lt;&gt;"",AO138-P138,TODAY()-P138))</f>
        <v/>
      </c>
      <c r="AS138" s="42"/>
    </row>
    <row r="139" customFormat="false" ht="21.75" hidden="false" customHeight="true" outlineLevel="0" collapsed="false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8" t="str">
        <f aca="false">IF(A139="","",SUM(Y139:AE139))</f>
        <v/>
      </c>
      <c r="AG139" s="38" t="str">
        <f aca="false">IF(AF139="","",ROUND(AF139*1.2/100,0)*100)</f>
        <v/>
      </c>
      <c r="AH139" s="38"/>
      <c r="AI139" s="38" t="str">
        <f aca="false">IF(AF139="","",ROUND(AF139*1.05/100,0)*100)</f>
        <v/>
      </c>
      <c r="AJ139" s="38" t="str">
        <f aca="false">IF(OR(AH139="",AF139=""),"",AH139-AF139)</f>
        <v/>
      </c>
      <c r="AK139" s="39" t="str">
        <f aca="false">IF(OR(AF139="",AF139=0),"",AJ139/AF139)</f>
        <v/>
      </c>
      <c r="AL139" s="38" t="str">
        <f aca="false">IF(AJ139="","",AJ139-AM139)</f>
        <v/>
      </c>
      <c r="AM139" s="40" t="str">
        <f aca="false">IF(OR(AH139="",AF139=""),"",ROUND((AH139-AF139)/1.2*0.2,2))</f>
        <v/>
      </c>
      <c r="AN139" s="39" t="str">
        <f aca="false">IF(OR(AF139="",AF139=0),"",AL139/AF139)</f>
        <v/>
      </c>
      <c r="AO139" s="37"/>
      <c r="AP139" s="37"/>
      <c r="AQ139" s="37"/>
      <c r="AR139" s="41" t="str">
        <f aca="true">IF(OR(A139="",P139=""),"",IF(AO139&lt;&gt;"",AO139-P139,TODAY()-P139))</f>
        <v/>
      </c>
      <c r="AS139" s="37"/>
    </row>
    <row r="140" customFormat="false" ht="21.75" hidden="false" customHeight="true" outlineLevel="0" collapsed="false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3" t="str">
        <f aca="false">IF(A140="","",SUM(Y140:AE140))</f>
        <v/>
      </c>
      <c r="AG140" s="43" t="str">
        <f aca="false">IF(AF140="","",ROUND(AF140*1.2/100,0)*100)</f>
        <v/>
      </c>
      <c r="AH140" s="43"/>
      <c r="AI140" s="43" t="str">
        <f aca="false">IF(AF140="","",ROUND(AF140*1.05/100,0)*100)</f>
        <v/>
      </c>
      <c r="AJ140" s="43" t="str">
        <f aca="false">IF(OR(AH140="",AF140=""),"",AH140-AF140)</f>
        <v/>
      </c>
      <c r="AK140" s="44" t="str">
        <f aca="false">IF(OR(AF140="",AF140=0),"",AJ140/AF140)</f>
        <v/>
      </c>
      <c r="AL140" s="43" t="str">
        <f aca="false">IF(AJ140="","",AJ140-AM140)</f>
        <v/>
      </c>
      <c r="AM140" s="45" t="str">
        <f aca="false">IF(OR(AH140="",AF140=""),"",ROUND((AH140-AF140)/1.2*0.2,2))</f>
        <v/>
      </c>
      <c r="AN140" s="44" t="str">
        <f aca="false">IF(OR(AF140="",AF140=0),"",AL140/AF140)</f>
        <v/>
      </c>
      <c r="AO140" s="42"/>
      <c r="AP140" s="42"/>
      <c r="AQ140" s="42"/>
      <c r="AR140" s="46" t="str">
        <f aca="true">IF(OR(A140="",P140=""),"",IF(AO140&lt;&gt;"",AO140-P140,TODAY()-P140))</f>
        <v/>
      </c>
      <c r="AS140" s="42"/>
    </row>
    <row r="141" customFormat="false" ht="21.75" hidden="false" customHeight="true" outlineLevel="0" collapsed="false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8" t="str">
        <f aca="false">IF(A141="","",SUM(Y141:AE141))</f>
        <v/>
      </c>
      <c r="AG141" s="38" t="str">
        <f aca="false">IF(AF141="","",ROUND(AF141*1.2/100,0)*100)</f>
        <v/>
      </c>
      <c r="AH141" s="38"/>
      <c r="AI141" s="38" t="str">
        <f aca="false">IF(AF141="","",ROUND(AF141*1.05/100,0)*100)</f>
        <v/>
      </c>
      <c r="AJ141" s="38" t="str">
        <f aca="false">IF(OR(AH141="",AF141=""),"",AH141-AF141)</f>
        <v/>
      </c>
      <c r="AK141" s="39" t="str">
        <f aca="false">IF(OR(AF141="",AF141=0),"",AJ141/AF141)</f>
        <v/>
      </c>
      <c r="AL141" s="38" t="str">
        <f aca="false">IF(AJ141="","",AJ141-AM141)</f>
        <v/>
      </c>
      <c r="AM141" s="40" t="str">
        <f aca="false">IF(OR(AH141="",AF141=""),"",ROUND((AH141-AF141)/1.2*0.2,2))</f>
        <v/>
      </c>
      <c r="AN141" s="39" t="str">
        <f aca="false">IF(OR(AF141="",AF141=0),"",AL141/AF141)</f>
        <v/>
      </c>
      <c r="AO141" s="37"/>
      <c r="AP141" s="37"/>
      <c r="AQ141" s="37"/>
      <c r="AR141" s="41" t="str">
        <f aca="true">IF(OR(A141="",P141=""),"",IF(AO141&lt;&gt;"",AO141-P141,TODAY()-P141))</f>
        <v/>
      </c>
      <c r="AS141" s="37"/>
    </row>
    <row r="142" customFormat="false" ht="21.75" hidden="false" customHeight="true" outlineLevel="0" collapsed="false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3" t="str">
        <f aca="false">IF(A142="","",SUM(Y142:AE142))</f>
        <v/>
      </c>
      <c r="AG142" s="43" t="str">
        <f aca="false">IF(AF142="","",ROUND(AF142*1.2/100,0)*100)</f>
        <v/>
      </c>
      <c r="AH142" s="43"/>
      <c r="AI142" s="43" t="str">
        <f aca="false">IF(AF142="","",ROUND(AF142*1.05/100,0)*100)</f>
        <v/>
      </c>
      <c r="AJ142" s="43" t="str">
        <f aca="false">IF(OR(AH142="",AF142=""),"",AH142-AF142)</f>
        <v/>
      </c>
      <c r="AK142" s="44" t="str">
        <f aca="false">IF(OR(AF142="",AF142=0),"",AJ142/AF142)</f>
        <v/>
      </c>
      <c r="AL142" s="43" t="str">
        <f aca="false">IF(AJ142="","",AJ142-AM142)</f>
        <v/>
      </c>
      <c r="AM142" s="45" t="str">
        <f aca="false">IF(OR(AH142="",AF142=""),"",ROUND((AH142-AF142)/1.2*0.2,2))</f>
        <v/>
      </c>
      <c r="AN142" s="44" t="str">
        <f aca="false">IF(OR(AF142="",AF142=0),"",AL142/AF142)</f>
        <v/>
      </c>
      <c r="AO142" s="42"/>
      <c r="AP142" s="42"/>
      <c r="AQ142" s="42"/>
      <c r="AR142" s="46" t="str">
        <f aca="true">IF(OR(A142="",P142=""),"",IF(AO142&lt;&gt;"",AO142-P142,TODAY()-P142))</f>
        <v/>
      </c>
      <c r="AS142" s="42"/>
    </row>
    <row r="143" customFormat="false" ht="21.75" hidden="false" customHeight="true" outlineLevel="0" collapsed="false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8" t="str">
        <f aca="false">IF(A143="","",SUM(Y143:AE143))</f>
        <v/>
      </c>
      <c r="AG143" s="38" t="str">
        <f aca="false">IF(AF143="","",ROUND(AF143*1.2/100,0)*100)</f>
        <v/>
      </c>
      <c r="AH143" s="38"/>
      <c r="AI143" s="38" t="str">
        <f aca="false">IF(AF143="","",ROUND(AF143*1.05/100,0)*100)</f>
        <v/>
      </c>
      <c r="AJ143" s="38" t="str">
        <f aca="false">IF(OR(AH143="",AF143=""),"",AH143-AF143)</f>
        <v/>
      </c>
      <c r="AK143" s="39" t="str">
        <f aca="false">IF(OR(AF143="",AF143=0),"",AJ143/AF143)</f>
        <v/>
      </c>
      <c r="AL143" s="38" t="str">
        <f aca="false">IF(AJ143="","",AJ143-AM143)</f>
        <v/>
      </c>
      <c r="AM143" s="40" t="str">
        <f aca="false">IF(OR(AH143="",AF143=""),"",ROUND((AH143-AF143)/1.2*0.2,2))</f>
        <v/>
      </c>
      <c r="AN143" s="39" t="str">
        <f aca="false">IF(OR(AF143="",AF143=0),"",AL143/AF143)</f>
        <v/>
      </c>
      <c r="AO143" s="37"/>
      <c r="AP143" s="37"/>
      <c r="AQ143" s="37"/>
      <c r="AR143" s="41" t="str">
        <f aca="true">IF(OR(A143="",P143=""),"",IF(AO143&lt;&gt;"",AO143-P143,TODAY()-P143))</f>
        <v/>
      </c>
      <c r="AS143" s="37"/>
    </row>
    <row r="144" customFormat="false" ht="21.75" hidden="false" customHeight="true" outlineLevel="0" collapsed="false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3" t="str">
        <f aca="false">IF(A144="","",SUM(Y144:AE144))</f>
        <v/>
      </c>
      <c r="AG144" s="43" t="str">
        <f aca="false">IF(AF144="","",ROUND(AF144*1.2/100,0)*100)</f>
        <v/>
      </c>
      <c r="AH144" s="43"/>
      <c r="AI144" s="43" t="str">
        <f aca="false">IF(AF144="","",ROUND(AF144*1.05/100,0)*100)</f>
        <v/>
      </c>
      <c r="AJ144" s="43" t="str">
        <f aca="false">IF(OR(AH144="",AF144=""),"",AH144-AF144)</f>
        <v/>
      </c>
      <c r="AK144" s="44" t="str">
        <f aca="false">IF(OR(AF144="",AF144=0),"",AJ144/AF144)</f>
        <v/>
      </c>
      <c r="AL144" s="43" t="str">
        <f aca="false">IF(AJ144="","",AJ144-AM144)</f>
        <v/>
      </c>
      <c r="AM144" s="45" t="str">
        <f aca="false">IF(OR(AH144="",AF144=""),"",ROUND((AH144-AF144)/1.2*0.2,2))</f>
        <v/>
      </c>
      <c r="AN144" s="44" t="str">
        <f aca="false">IF(OR(AF144="",AF144=0),"",AL144/AF144)</f>
        <v/>
      </c>
      <c r="AO144" s="42"/>
      <c r="AP144" s="42"/>
      <c r="AQ144" s="42"/>
      <c r="AR144" s="46" t="str">
        <f aca="true">IF(OR(A144="",P144=""),"",IF(AO144&lt;&gt;"",AO144-P144,TODAY()-P144))</f>
        <v/>
      </c>
      <c r="AS144" s="42"/>
    </row>
    <row r="145" customFormat="false" ht="21.75" hidden="false" customHeight="true" outlineLevel="0" collapsed="false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8" t="str">
        <f aca="false">IF(A145="","",SUM(Y145:AE145))</f>
        <v/>
      </c>
      <c r="AG145" s="38" t="str">
        <f aca="false">IF(AF145="","",ROUND(AF145*1.2/100,0)*100)</f>
        <v/>
      </c>
      <c r="AH145" s="38"/>
      <c r="AI145" s="38" t="str">
        <f aca="false">IF(AF145="","",ROUND(AF145*1.05/100,0)*100)</f>
        <v/>
      </c>
      <c r="AJ145" s="38" t="str">
        <f aca="false">IF(OR(AH145="",AF145=""),"",AH145-AF145)</f>
        <v/>
      </c>
      <c r="AK145" s="39" t="str">
        <f aca="false">IF(OR(AF145="",AF145=0),"",AJ145/AF145)</f>
        <v/>
      </c>
      <c r="AL145" s="38" t="str">
        <f aca="false">IF(AJ145="","",AJ145-AM145)</f>
        <v/>
      </c>
      <c r="AM145" s="40" t="str">
        <f aca="false">IF(OR(AH145="",AF145=""),"",ROUND((AH145-AF145)/1.2*0.2,2))</f>
        <v/>
      </c>
      <c r="AN145" s="39" t="str">
        <f aca="false">IF(OR(AF145="",AF145=0),"",AL145/AF145)</f>
        <v/>
      </c>
      <c r="AO145" s="37"/>
      <c r="AP145" s="37"/>
      <c r="AQ145" s="37"/>
      <c r="AR145" s="41" t="str">
        <f aca="true">IF(OR(A145="",P145=""),"",IF(AO145&lt;&gt;"",AO145-P145,TODAY()-P145))</f>
        <v/>
      </c>
      <c r="AS145" s="37"/>
    </row>
    <row r="146" customFormat="false" ht="21.75" hidden="false" customHeight="true" outlineLevel="0" collapsed="false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3" t="str">
        <f aca="false">IF(A146="","",SUM(Y146:AE146))</f>
        <v/>
      </c>
      <c r="AG146" s="43" t="str">
        <f aca="false">IF(AF146="","",ROUND(AF146*1.2/100,0)*100)</f>
        <v/>
      </c>
      <c r="AH146" s="43"/>
      <c r="AI146" s="43" t="str">
        <f aca="false">IF(AF146="","",ROUND(AF146*1.05/100,0)*100)</f>
        <v/>
      </c>
      <c r="AJ146" s="43" t="str">
        <f aca="false">IF(OR(AH146="",AF146=""),"",AH146-AF146)</f>
        <v/>
      </c>
      <c r="AK146" s="44" t="str">
        <f aca="false">IF(OR(AF146="",AF146=0),"",AJ146/AF146)</f>
        <v/>
      </c>
      <c r="AL146" s="43" t="str">
        <f aca="false">IF(AJ146="","",AJ146-AM146)</f>
        <v/>
      </c>
      <c r="AM146" s="45" t="str">
        <f aca="false">IF(OR(AH146="",AF146=""),"",ROUND((AH146-AF146)/1.2*0.2,2))</f>
        <v/>
      </c>
      <c r="AN146" s="44" t="str">
        <f aca="false">IF(OR(AF146="",AF146=0),"",AL146/AF146)</f>
        <v/>
      </c>
      <c r="AO146" s="42"/>
      <c r="AP146" s="42"/>
      <c r="AQ146" s="42"/>
      <c r="AR146" s="46" t="str">
        <f aca="true">IF(OR(A146="",P146=""),"",IF(AO146&lt;&gt;"",AO146-P146,TODAY()-P146))</f>
        <v/>
      </c>
      <c r="AS146" s="42"/>
    </row>
    <row r="147" customFormat="false" ht="21.75" hidden="false" customHeight="true" outlineLevel="0" collapsed="false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8" t="str">
        <f aca="false">IF(A147="","",SUM(Y147:AE147))</f>
        <v/>
      </c>
      <c r="AG147" s="38" t="str">
        <f aca="false">IF(AF147="","",ROUND(AF147*1.2/100,0)*100)</f>
        <v/>
      </c>
      <c r="AH147" s="38"/>
      <c r="AI147" s="38" t="str">
        <f aca="false">IF(AF147="","",ROUND(AF147*1.05/100,0)*100)</f>
        <v/>
      </c>
      <c r="AJ147" s="38" t="str">
        <f aca="false">IF(OR(AH147="",AF147=""),"",AH147-AF147)</f>
        <v/>
      </c>
      <c r="AK147" s="39" t="str">
        <f aca="false">IF(OR(AF147="",AF147=0),"",AJ147/AF147)</f>
        <v/>
      </c>
      <c r="AL147" s="38" t="str">
        <f aca="false">IF(AJ147="","",AJ147-AM147)</f>
        <v/>
      </c>
      <c r="AM147" s="40" t="str">
        <f aca="false">IF(OR(AH147="",AF147=""),"",ROUND((AH147-AF147)/1.2*0.2,2))</f>
        <v/>
      </c>
      <c r="AN147" s="39" t="str">
        <f aca="false">IF(OR(AF147="",AF147=0),"",AL147/AF147)</f>
        <v/>
      </c>
      <c r="AO147" s="37"/>
      <c r="AP147" s="37"/>
      <c r="AQ147" s="37"/>
      <c r="AR147" s="41" t="str">
        <f aca="true">IF(OR(A147="",P147=""),"",IF(AO147&lt;&gt;"",AO147-P147,TODAY()-P147))</f>
        <v/>
      </c>
      <c r="AS147" s="37"/>
    </row>
    <row r="148" customFormat="false" ht="21.75" hidden="false" customHeight="true" outlineLevel="0" collapsed="false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3" t="str">
        <f aca="false">IF(A148="","",SUM(Y148:AE148))</f>
        <v/>
      </c>
      <c r="AG148" s="43" t="str">
        <f aca="false">IF(AF148="","",ROUND(AF148*1.2/100,0)*100)</f>
        <v/>
      </c>
      <c r="AH148" s="43"/>
      <c r="AI148" s="43" t="str">
        <f aca="false">IF(AF148="","",ROUND(AF148*1.05/100,0)*100)</f>
        <v/>
      </c>
      <c r="AJ148" s="43" t="str">
        <f aca="false">IF(OR(AH148="",AF148=""),"",AH148-AF148)</f>
        <v/>
      </c>
      <c r="AK148" s="44" t="str">
        <f aca="false">IF(OR(AF148="",AF148=0),"",AJ148/AF148)</f>
        <v/>
      </c>
      <c r="AL148" s="43" t="str">
        <f aca="false">IF(AJ148="","",AJ148-AM148)</f>
        <v/>
      </c>
      <c r="AM148" s="45" t="str">
        <f aca="false">IF(OR(AH148="",AF148=""),"",ROUND((AH148-AF148)/1.2*0.2,2))</f>
        <v/>
      </c>
      <c r="AN148" s="44" t="str">
        <f aca="false">IF(OR(AF148="",AF148=0),"",AL148/AF148)</f>
        <v/>
      </c>
      <c r="AO148" s="42"/>
      <c r="AP148" s="42"/>
      <c r="AQ148" s="42"/>
      <c r="AR148" s="46" t="str">
        <f aca="true">IF(OR(A148="",P148=""),"",IF(AO148&lt;&gt;"",AO148-P148,TODAY()-P148))</f>
        <v/>
      </c>
      <c r="AS148" s="42"/>
    </row>
    <row r="149" customFormat="false" ht="21.75" hidden="false" customHeight="true" outlineLevel="0" collapsed="false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8" t="str">
        <f aca="false">IF(A149="","",SUM(Y149:AE149))</f>
        <v/>
      </c>
      <c r="AG149" s="38" t="str">
        <f aca="false">IF(AF149="","",ROUND(AF149*1.2/100,0)*100)</f>
        <v/>
      </c>
      <c r="AH149" s="38"/>
      <c r="AI149" s="38" t="str">
        <f aca="false">IF(AF149="","",ROUND(AF149*1.05/100,0)*100)</f>
        <v/>
      </c>
      <c r="AJ149" s="38" t="str">
        <f aca="false">IF(OR(AH149="",AF149=""),"",AH149-AF149)</f>
        <v/>
      </c>
      <c r="AK149" s="39" t="str">
        <f aca="false">IF(OR(AF149="",AF149=0),"",AJ149/AF149)</f>
        <v/>
      </c>
      <c r="AL149" s="38" t="str">
        <f aca="false">IF(AJ149="","",AJ149-AM149)</f>
        <v/>
      </c>
      <c r="AM149" s="40" t="str">
        <f aca="false">IF(OR(AH149="",AF149=""),"",ROUND((AH149-AF149)/1.2*0.2,2))</f>
        <v/>
      </c>
      <c r="AN149" s="39" t="str">
        <f aca="false">IF(OR(AF149="",AF149=0),"",AL149/AF149)</f>
        <v/>
      </c>
      <c r="AO149" s="37"/>
      <c r="AP149" s="37"/>
      <c r="AQ149" s="37"/>
      <c r="AR149" s="41" t="str">
        <f aca="true">IF(OR(A149="",P149=""),"",IF(AO149&lt;&gt;"",AO149-P149,TODAY()-P149))</f>
        <v/>
      </c>
      <c r="AS149" s="37"/>
    </row>
    <row r="150" customFormat="false" ht="21.75" hidden="false" customHeight="true" outlineLevel="0" collapsed="false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3" t="str">
        <f aca="false">IF(A150="","",SUM(Y150:AE150))</f>
        <v/>
      </c>
      <c r="AG150" s="43" t="str">
        <f aca="false">IF(AF150="","",ROUND(AF150*1.2/100,0)*100)</f>
        <v/>
      </c>
      <c r="AH150" s="43"/>
      <c r="AI150" s="43" t="str">
        <f aca="false">IF(AF150="","",ROUND(AF150*1.05/100,0)*100)</f>
        <v/>
      </c>
      <c r="AJ150" s="43" t="str">
        <f aca="false">IF(OR(AH150="",AF150=""),"",AH150-AF150)</f>
        <v/>
      </c>
      <c r="AK150" s="44" t="str">
        <f aca="false">IF(OR(AF150="",AF150=0),"",AJ150/AF150)</f>
        <v/>
      </c>
      <c r="AL150" s="43" t="str">
        <f aca="false">IF(AJ150="","",AJ150-AM150)</f>
        <v/>
      </c>
      <c r="AM150" s="45" t="str">
        <f aca="false">IF(OR(AH150="",AF150=""),"",ROUND((AH150-AF150)/1.2*0.2,2))</f>
        <v/>
      </c>
      <c r="AN150" s="44" t="str">
        <f aca="false">IF(OR(AF150="",AF150=0),"",AL150/AF150)</f>
        <v/>
      </c>
      <c r="AO150" s="42"/>
      <c r="AP150" s="42"/>
      <c r="AQ150" s="42"/>
      <c r="AR150" s="46" t="str">
        <f aca="true">IF(OR(A150="",P150=""),"",IF(AO150&lt;&gt;"",AO150-P150,TODAY()-P150))</f>
        <v/>
      </c>
      <c r="AS150" s="42"/>
    </row>
    <row r="151" customFormat="false" ht="21.75" hidden="false" customHeight="true" outlineLevel="0" collapsed="false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8" t="str">
        <f aca="false">IF(A151="","",SUM(Y151:AE151))</f>
        <v/>
      </c>
      <c r="AG151" s="38" t="str">
        <f aca="false">IF(AF151="","",ROUND(AF151*1.2/100,0)*100)</f>
        <v/>
      </c>
      <c r="AH151" s="38"/>
      <c r="AI151" s="38" t="str">
        <f aca="false">IF(AF151="","",ROUND(AF151*1.05/100,0)*100)</f>
        <v/>
      </c>
      <c r="AJ151" s="38" t="str">
        <f aca="false">IF(OR(AH151="",AF151=""),"",AH151-AF151)</f>
        <v/>
      </c>
      <c r="AK151" s="39" t="str">
        <f aca="false">IF(OR(AF151="",AF151=0),"",AJ151/AF151)</f>
        <v/>
      </c>
      <c r="AL151" s="38" t="str">
        <f aca="false">IF(AJ151="","",AJ151-AM151)</f>
        <v/>
      </c>
      <c r="AM151" s="40" t="str">
        <f aca="false">IF(OR(AH151="",AF151=""),"",ROUND((AH151-AF151)/1.2*0.2,2))</f>
        <v/>
      </c>
      <c r="AN151" s="39" t="str">
        <f aca="false">IF(OR(AF151="",AF151=0),"",AL151/AF151)</f>
        <v/>
      </c>
      <c r="AO151" s="37"/>
      <c r="AP151" s="37"/>
      <c r="AQ151" s="37"/>
      <c r="AR151" s="41" t="str">
        <f aca="true">IF(OR(A151="",P151=""),"",IF(AO151&lt;&gt;"",AO151-P151,TODAY()-P151))</f>
        <v/>
      </c>
      <c r="AS151" s="37"/>
    </row>
    <row r="152" customFormat="false" ht="21.75" hidden="false" customHeight="true" outlineLevel="0" collapsed="false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3" t="str">
        <f aca="false">IF(A152="","",SUM(Y152:AE152))</f>
        <v/>
      </c>
      <c r="AG152" s="43" t="str">
        <f aca="false">IF(AF152="","",ROUND(AF152*1.2/100,0)*100)</f>
        <v/>
      </c>
      <c r="AH152" s="43"/>
      <c r="AI152" s="43" t="str">
        <f aca="false">IF(AF152="","",ROUND(AF152*1.05/100,0)*100)</f>
        <v/>
      </c>
      <c r="AJ152" s="43" t="str">
        <f aca="false">IF(OR(AH152="",AF152=""),"",AH152-AF152)</f>
        <v/>
      </c>
      <c r="AK152" s="44" t="str">
        <f aca="false">IF(OR(AF152="",AF152=0),"",AJ152/AF152)</f>
        <v/>
      </c>
      <c r="AL152" s="43" t="str">
        <f aca="false">IF(AJ152="","",AJ152-AM152)</f>
        <v/>
      </c>
      <c r="AM152" s="45" t="str">
        <f aca="false">IF(OR(AH152="",AF152=""),"",ROUND((AH152-AF152)/1.2*0.2,2))</f>
        <v/>
      </c>
      <c r="AN152" s="44" t="str">
        <f aca="false">IF(OR(AF152="",AF152=0),"",AL152/AF152)</f>
        <v/>
      </c>
      <c r="AO152" s="42"/>
      <c r="AP152" s="42"/>
      <c r="AQ152" s="42"/>
      <c r="AR152" s="46" t="str">
        <f aca="true">IF(OR(A152="",P152=""),"",IF(AO152&lt;&gt;"",AO152-P152,TODAY()-P152))</f>
        <v/>
      </c>
      <c r="AS152" s="42"/>
    </row>
    <row r="153" customFormat="false" ht="21.75" hidden="false" customHeight="true" outlineLevel="0" collapsed="false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8" t="str">
        <f aca="false">IF(A153="","",SUM(Y153:AE153))</f>
        <v/>
      </c>
      <c r="AG153" s="38" t="str">
        <f aca="false">IF(AF153="","",ROUND(AF153*1.2/100,0)*100)</f>
        <v/>
      </c>
      <c r="AH153" s="38"/>
      <c r="AI153" s="38" t="str">
        <f aca="false">IF(AF153="","",ROUND(AF153*1.05/100,0)*100)</f>
        <v/>
      </c>
      <c r="AJ153" s="38" t="str">
        <f aca="false">IF(OR(AH153="",AF153=""),"",AH153-AF153)</f>
        <v/>
      </c>
      <c r="AK153" s="39" t="str">
        <f aca="false">IF(OR(AF153="",AF153=0),"",AJ153/AF153)</f>
        <v/>
      </c>
      <c r="AL153" s="38" t="str">
        <f aca="false">IF(AJ153="","",AJ153-AM153)</f>
        <v/>
      </c>
      <c r="AM153" s="40" t="str">
        <f aca="false">IF(OR(AH153="",AF153=""),"",ROUND((AH153-AF153)/1.2*0.2,2))</f>
        <v/>
      </c>
      <c r="AN153" s="39" t="str">
        <f aca="false">IF(OR(AF153="",AF153=0),"",AL153/AF153)</f>
        <v/>
      </c>
      <c r="AO153" s="37"/>
      <c r="AP153" s="37"/>
      <c r="AQ153" s="37"/>
      <c r="AR153" s="41" t="str">
        <f aca="true">IF(OR(A153="",P153=""),"",IF(AO153&lt;&gt;"",AO153-P153,TODAY()-P153))</f>
        <v/>
      </c>
      <c r="AS153" s="37"/>
    </row>
    <row r="154" customFormat="false" ht="21.75" hidden="false" customHeight="true" outlineLevel="0" collapsed="false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3" t="str">
        <f aca="false">IF(A154="","",SUM(Y154:AE154))</f>
        <v/>
      </c>
      <c r="AG154" s="43" t="str">
        <f aca="false">IF(AF154="","",ROUND(AF154*1.2/100,0)*100)</f>
        <v/>
      </c>
      <c r="AH154" s="43"/>
      <c r="AI154" s="43" t="str">
        <f aca="false">IF(AF154="","",ROUND(AF154*1.05/100,0)*100)</f>
        <v/>
      </c>
      <c r="AJ154" s="43" t="str">
        <f aca="false">IF(OR(AH154="",AF154=""),"",AH154-AF154)</f>
        <v/>
      </c>
      <c r="AK154" s="44" t="str">
        <f aca="false">IF(OR(AF154="",AF154=0),"",AJ154/AF154)</f>
        <v/>
      </c>
      <c r="AL154" s="43" t="str">
        <f aca="false">IF(AJ154="","",AJ154-AM154)</f>
        <v/>
      </c>
      <c r="AM154" s="45" t="str">
        <f aca="false">IF(OR(AH154="",AF154=""),"",ROUND((AH154-AF154)/1.2*0.2,2))</f>
        <v/>
      </c>
      <c r="AN154" s="44" t="str">
        <f aca="false">IF(OR(AF154="",AF154=0),"",AL154/AF154)</f>
        <v/>
      </c>
      <c r="AO154" s="42"/>
      <c r="AP154" s="42"/>
      <c r="AQ154" s="42"/>
      <c r="AR154" s="46" t="str">
        <f aca="true">IF(OR(A154="",P154=""),"",IF(AO154&lt;&gt;"",AO154-P154,TODAY()-P154))</f>
        <v/>
      </c>
      <c r="AS154" s="42"/>
    </row>
    <row r="155" customFormat="false" ht="21.75" hidden="false" customHeight="true" outlineLevel="0" collapsed="false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8" t="str">
        <f aca="false">IF(A155="","",SUM(Y155:AE155))</f>
        <v/>
      </c>
      <c r="AG155" s="38" t="str">
        <f aca="false">IF(AF155="","",ROUND(AF155*1.2/100,0)*100)</f>
        <v/>
      </c>
      <c r="AH155" s="38"/>
      <c r="AI155" s="38" t="str">
        <f aca="false">IF(AF155="","",ROUND(AF155*1.05/100,0)*100)</f>
        <v/>
      </c>
      <c r="AJ155" s="38" t="str">
        <f aca="false">IF(OR(AH155="",AF155=""),"",AH155-AF155)</f>
        <v/>
      </c>
      <c r="AK155" s="39" t="str">
        <f aca="false">IF(OR(AF155="",AF155=0),"",AJ155/AF155)</f>
        <v/>
      </c>
      <c r="AL155" s="38" t="str">
        <f aca="false">IF(AJ155="","",AJ155-AM155)</f>
        <v/>
      </c>
      <c r="AM155" s="40" t="str">
        <f aca="false">IF(OR(AH155="",AF155=""),"",ROUND((AH155-AF155)/1.2*0.2,2))</f>
        <v/>
      </c>
      <c r="AN155" s="39" t="str">
        <f aca="false">IF(OR(AF155="",AF155=0),"",AL155/AF155)</f>
        <v/>
      </c>
      <c r="AO155" s="37"/>
      <c r="AP155" s="37"/>
      <c r="AQ155" s="37"/>
      <c r="AR155" s="41" t="str">
        <f aca="true">IF(OR(A155="",P155=""),"",IF(AO155&lt;&gt;"",AO155-P155,TODAY()-P155))</f>
        <v/>
      </c>
      <c r="AS155" s="37"/>
    </row>
    <row r="156" customFormat="false" ht="21.75" hidden="false" customHeight="true" outlineLevel="0" collapsed="false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3" t="str">
        <f aca="false">IF(A156="","",SUM(Y156:AE156))</f>
        <v/>
      </c>
      <c r="AG156" s="43" t="str">
        <f aca="false">IF(AF156="","",ROUND(AF156*1.2/100,0)*100)</f>
        <v/>
      </c>
      <c r="AH156" s="43"/>
      <c r="AI156" s="43" t="str">
        <f aca="false">IF(AF156="","",ROUND(AF156*1.05/100,0)*100)</f>
        <v/>
      </c>
      <c r="AJ156" s="43" t="str">
        <f aca="false">IF(OR(AH156="",AF156=""),"",AH156-AF156)</f>
        <v/>
      </c>
      <c r="AK156" s="44" t="str">
        <f aca="false">IF(OR(AF156="",AF156=0),"",AJ156/AF156)</f>
        <v/>
      </c>
      <c r="AL156" s="43" t="str">
        <f aca="false">IF(AJ156="","",AJ156-AM156)</f>
        <v/>
      </c>
      <c r="AM156" s="45" t="str">
        <f aca="false">IF(OR(AH156="",AF156=""),"",ROUND((AH156-AF156)/1.2*0.2,2))</f>
        <v/>
      </c>
      <c r="AN156" s="44" t="str">
        <f aca="false">IF(OR(AF156="",AF156=0),"",AL156/AF156)</f>
        <v/>
      </c>
      <c r="AO156" s="42"/>
      <c r="AP156" s="42"/>
      <c r="AQ156" s="42"/>
      <c r="AR156" s="46" t="str">
        <f aca="true">IF(OR(A156="",P156=""),"",IF(AO156&lt;&gt;"",AO156-P156,TODAY()-P156))</f>
        <v/>
      </c>
      <c r="AS156" s="42"/>
    </row>
    <row r="157" customFormat="false" ht="21.75" hidden="false" customHeight="true" outlineLevel="0" collapsed="false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8" t="str">
        <f aca="false">IF(A157="","",SUM(Y157:AE157))</f>
        <v/>
      </c>
      <c r="AG157" s="38" t="str">
        <f aca="false">IF(AF157="","",ROUND(AF157*1.2/100,0)*100)</f>
        <v/>
      </c>
      <c r="AH157" s="38"/>
      <c r="AI157" s="38" t="str">
        <f aca="false">IF(AF157="","",ROUND(AF157*1.05/100,0)*100)</f>
        <v/>
      </c>
      <c r="AJ157" s="38" t="str">
        <f aca="false">IF(OR(AH157="",AF157=""),"",AH157-AF157)</f>
        <v/>
      </c>
      <c r="AK157" s="39" t="str">
        <f aca="false">IF(OR(AF157="",AF157=0),"",AJ157/AF157)</f>
        <v/>
      </c>
      <c r="AL157" s="38" t="str">
        <f aca="false">IF(AJ157="","",AJ157-AM157)</f>
        <v/>
      </c>
      <c r="AM157" s="40" t="str">
        <f aca="false">IF(OR(AH157="",AF157=""),"",ROUND((AH157-AF157)/1.2*0.2,2))</f>
        <v/>
      </c>
      <c r="AN157" s="39" t="str">
        <f aca="false">IF(OR(AF157="",AF157=0),"",AL157/AF157)</f>
        <v/>
      </c>
      <c r="AO157" s="37"/>
      <c r="AP157" s="37"/>
      <c r="AQ157" s="37"/>
      <c r="AR157" s="41" t="str">
        <f aca="true">IF(OR(A157="",P157=""),"",IF(AO157&lt;&gt;"",AO157-P157,TODAY()-P157))</f>
        <v/>
      </c>
      <c r="AS157" s="37"/>
    </row>
    <row r="158" customFormat="false" ht="21.75" hidden="false" customHeight="true" outlineLevel="0" collapsed="false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3" t="str">
        <f aca="false">IF(A158="","",SUM(Y158:AE158))</f>
        <v/>
      </c>
      <c r="AG158" s="43" t="str">
        <f aca="false">IF(AF158="","",ROUND(AF158*1.2/100,0)*100)</f>
        <v/>
      </c>
      <c r="AH158" s="43"/>
      <c r="AI158" s="43" t="str">
        <f aca="false">IF(AF158="","",ROUND(AF158*1.05/100,0)*100)</f>
        <v/>
      </c>
      <c r="AJ158" s="43" t="str">
        <f aca="false">IF(OR(AH158="",AF158=""),"",AH158-AF158)</f>
        <v/>
      </c>
      <c r="AK158" s="44" t="str">
        <f aca="false">IF(OR(AF158="",AF158=0),"",AJ158/AF158)</f>
        <v/>
      </c>
      <c r="AL158" s="43" t="str">
        <f aca="false">IF(AJ158="","",AJ158-AM158)</f>
        <v/>
      </c>
      <c r="AM158" s="45" t="str">
        <f aca="false">IF(OR(AH158="",AF158=""),"",ROUND((AH158-AF158)/1.2*0.2,2))</f>
        <v/>
      </c>
      <c r="AN158" s="44" t="str">
        <f aca="false">IF(OR(AF158="",AF158=0),"",AL158/AF158)</f>
        <v/>
      </c>
      <c r="AO158" s="42"/>
      <c r="AP158" s="42"/>
      <c r="AQ158" s="42"/>
      <c r="AR158" s="46" t="str">
        <f aca="true">IF(OR(A158="",P158=""),"",IF(AO158&lt;&gt;"",AO158-P158,TODAY()-P158))</f>
        <v/>
      </c>
      <c r="AS158" s="42"/>
    </row>
    <row r="159" customFormat="false" ht="21.75" hidden="false" customHeight="true" outlineLevel="0" collapsed="false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8" t="str">
        <f aca="false">IF(A159="","",SUM(Y159:AE159))</f>
        <v/>
      </c>
      <c r="AG159" s="38" t="str">
        <f aca="false">IF(AF159="","",ROUND(AF159*1.2/100,0)*100)</f>
        <v/>
      </c>
      <c r="AH159" s="38"/>
      <c r="AI159" s="38" t="str">
        <f aca="false">IF(AF159="","",ROUND(AF159*1.05/100,0)*100)</f>
        <v/>
      </c>
      <c r="AJ159" s="38" t="str">
        <f aca="false">IF(OR(AH159="",AF159=""),"",AH159-AF159)</f>
        <v/>
      </c>
      <c r="AK159" s="39" t="str">
        <f aca="false">IF(OR(AF159="",AF159=0),"",AJ159/AF159)</f>
        <v/>
      </c>
      <c r="AL159" s="38" t="str">
        <f aca="false">IF(AJ159="","",AJ159-AM159)</f>
        <v/>
      </c>
      <c r="AM159" s="40" t="str">
        <f aca="false">IF(OR(AH159="",AF159=""),"",ROUND((AH159-AF159)/1.2*0.2,2))</f>
        <v/>
      </c>
      <c r="AN159" s="39" t="str">
        <f aca="false">IF(OR(AF159="",AF159=0),"",AL159/AF159)</f>
        <v/>
      </c>
      <c r="AO159" s="37"/>
      <c r="AP159" s="37"/>
      <c r="AQ159" s="37"/>
      <c r="AR159" s="41" t="str">
        <f aca="true">IF(OR(A159="",P159=""),"",IF(AO159&lt;&gt;"",AO159-P159,TODAY()-P159))</f>
        <v/>
      </c>
      <c r="AS159" s="37"/>
    </row>
    <row r="160" customFormat="false" ht="21.75" hidden="false" customHeight="true" outlineLevel="0" collapsed="false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3" t="str">
        <f aca="false">IF(A160="","",SUM(Y160:AE160))</f>
        <v/>
      </c>
      <c r="AG160" s="43" t="str">
        <f aca="false">IF(AF160="","",ROUND(AF160*1.2/100,0)*100)</f>
        <v/>
      </c>
      <c r="AH160" s="43"/>
      <c r="AI160" s="43" t="str">
        <f aca="false">IF(AF160="","",ROUND(AF160*1.05/100,0)*100)</f>
        <v/>
      </c>
      <c r="AJ160" s="43" t="str">
        <f aca="false">IF(OR(AH160="",AF160=""),"",AH160-AF160)</f>
        <v/>
      </c>
      <c r="AK160" s="44" t="str">
        <f aca="false">IF(OR(AF160="",AF160=0),"",AJ160/AF160)</f>
        <v/>
      </c>
      <c r="AL160" s="43" t="str">
        <f aca="false">IF(AJ160="","",AJ160-AM160)</f>
        <v/>
      </c>
      <c r="AM160" s="45" t="str">
        <f aca="false">IF(OR(AH160="",AF160=""),"",ROUND((AH160-AF160)/1.2*0.2,2))</f>
        <v/>
      </c>
      <c r="AN160" s="44" t="str">
        <f aca="false">IF(OR(AF160="",AF160=0),"",AL160/AF160)</f>
        <v/>
      </c>
      <c r="AO160" s="42"/>
      <c r="AP160" s="42"/>
      <c r="AQ160" s="42"/>
      <c r="AR160" s="46" t="str">
        <f aca="true">IF(OR(A160="",P160=""),"",IF(AO160&lt;&gt;"",AO160-P160,TODAY()-P160))</f>
        <v/>
      </c>
      <c r="AS160" s="42"/>
    </row>
    <row r="161" customFormat="false" ht="21.75" hidden="false" customHeight="true" outlineLevel="0" collapsed="false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8" t="str">
        <f aca="false">IF(A161="","",SUM(Y161:AE161))</f>
        <v/>
      </c>
      <c r="AG161" s="38" t="str">
        <f aca="false">IF(AF161="","",ROUND(AF161*1.2/100,0)*100)</f>
        <v/>
      </c>
      <c r="AH161" s="38"/>
      <c r="AI161" s="38" t="str">
        <f aca="false">IF(AF161="","",ROUND(AF161*1.05/100,0)*100)</f>
        <v/>
      </c>
      <c r="AJ161" s="38" t="str">
        <f aca="false">IF(OR(AH161="",AF161=""),"",AH161-AF161)</f>
        <v/>
      </c>
      <c r="AK161" s="39" t="str">
        <f aca="false">IF(OR(AF161="",AF161=0),"",AJ161/AF161)</f>
        <v/>
      </c>
      <c r="AL161" s="38" t="str">
        <f aca="false">IF(AJ161="","",AJ161-AM161)</f>
        <v/>
      </c>
      <c r="AM161" s="40" t="str">
        <f aca="false">IF(OR(AH161="",AF161=""),"",ROUND((AH161-AF161)/1.2*0.2,2))</f>
        <v/>
      </c>
      <c r="AN161" s="39" t="str">
        <f aca="false">IF(OR(AF161="",AF161=0),"",AL161/AF161)</f>
        <v/>
      </c>
      <c r="AO161" s="37"/>
      <c r="AP161" s="37"/>
      <c r="AQ161" s="37"/>
      <c r="AR161" s="41" t="str">
        <f aca="true">IF(OR(A161="",P161=""),"",IF(AO161&lt;&gt;"",AO161-P161,TODAY()-P161))</f>
        <v/>
      </c>
      <c r="AS161" s="37"/>
    </row>
    <row r="162" customFormat="false" ht="21.75" hidden="false" customHeight="true" outlineLevel="0" collapsed="false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3" t="str">
        <f aca="false">IF(A162="","",SUM(Y162:AE162))</f>
        <v/>
      </c>
      <c r="AG162" s="43" t="str">
        <f aca="false">IF(AF162="","",ROUND(AF162*1.2/100,0)*100)</f>
        <v/>
      </c>
      <c r="AH162" s="43"/>
      <c r="AI162" s="43" t="str">
        <f aca="false">IF(AF162="","",ROUND(AF162*1.05/100,0)*100)</f>
        <v/>
      </c>
      <c r="AJ162" s="43" t="str">
        <f aca="false">IF(OR(AH162="",AF162=""),"",AH162-AF162)</f>
        <v/>
      </c>
      <c r="AK162" s="44" t="str">
        <f aca="false">IF(OR(AF162="",AF162=0),"",AJ162/AF162)</f>
        <v/>
      </c>
      <c r="AL162" s="43" t="str">
        <f aca="false">IF(AJ162="","",AJ162-AM162)</f>
        <v/>
      </c>
      <c r="AM162" s="45" t="str">
        <f aca="false">IF(OR(AH162="",AF162=""),"",ROUND((AH162-AF162)/1.2*0.2,2))</f>
        <v/>
      </c>
      <c r="AN162" s="44" t="str">
        <f aca="false">IF(OR(AF162="",AF162=0),"",AL162/AF162)</f>
        <v/>
      </c>
      <c r="AO162" s="42"/>
      <c r="AP162" s="42"/>
      <c r="AQ162" s="42"/>
      <c r="AR162" s="46" t="str">
        <f aca="true">IF(OR(A162="",P162=""),"",IF(AO162&lt;&gt;"",AO162-P162,TODAY()-P162))</f>
        <v/>
      </c>
      <c r="AS162" s="42"/>
    </row>
    <row r="163" customFormat="false" ht="21.75" hidden="false" customHeight="true" outlineLevel="0" collapsed="false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8" t="str">
        <f aca="false">IF(A163="","",SUM(Y163:AE163))</f>
        <v/>
      </c>
      <c r="AG163" s="38" t="str">
        <f aca="false">IF(AF163="","",ROUND(AF163*1.2/100,0)*100)</f>
        <v/>
      </c>
      <c r="AH163" s="38"/>
      <c r="AI163" s="38" t="str">
        <f aca="false">IF(AF163="","",ROUND(AF163*1.05/100,0)*100)</f>
        <v/>
      </c>
      <c r="AJ163" s="38" t="str">
        <f aca="false">IF(OR(AH163="",AF163=""),"",AH163-AF163)</f>
        <v/>
      </c>
      <c r="AK163" s="39" t="str">
        <f aca="false">IF(OR(AF163="",AF163=0),"",AJ163/AF163)</f>
        <v/>
      </c>
      <c r="AL163" s="38" t="str">
        <f aca="false">IF(AJ163="","",AJ163-AM163)</f>
        <v/>
      </c>
      <c r="AM163" s="40" t="str">
        <f aca="false">IF(OR(AH163="",AF163=""),"",ROUND((AH163-AF163)/1.2*0.2,2))</f>
        <v/>
      </c>
      <c r="AN163" s="39" t="str">
        <f aca="false">IF(OR(AF163="",AF163=0),"",AL163/AF163)</f>
        <v/>
      </c>
      <c r="AO163" s="37"/>
      <c r="AP163" s="37"/>
      <c r="AQ163" s="37"/>
      <c r="AR163" s="41" t="str">
        <f aca="true">IF(OR(A163="",P163=""),"",IF(AO163&lt;&gt;"",AO163-P163,TODAY()-P163))</f>
        <v/>
      </c>
      <c r="AS163" s="37"/>
    </row>
    <row r="164" customFormat="false" ht="21.75" hidden="false" customHeight="true" outlineLevel="0" collapsed="false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3" t="str">
        <f aca="false">IF(A164="","",SUM(Y164:AE164))</f>
        <v/>
      </c>
      <c r="AG164" s="43" t="str">
        <f aca="false">IF(AF164="","",ROUND(AF164*1.2/100,0)*100)</f>
        <v/>
      </c>
      <c r="AH164" s="43"/>
      <c r="AI164" s="43" t="str">
        <f aca="false">IF(AF164="","",ROUND(AF164*1.05/100,0)*100)</f>
        <v/>
      </c>
      <c r="AJ164" s="43" t="str">
        <f aca="false">IF(OR(AH164="",AF164=""),"",AH164-AF164)</f>
        <v/>
      </c>
      <c r="AK164" s="44" t="str">
        <f aca="false">IF(OR(AF164="",AF164=0),"",AJ164/AF164)</f>
        <v/>
      </c>
      <c r="AL164" s="43" t="str">
        <f aca="false">IF(AJ164="","",AJ164-AM164)</f>
        <v/>
      </c>
      <c r="AM164" s="45" t="str">
        <f aca="false">IF(OR(AH164="",AF164=""),"",ROUND((AH164-AF164)/1.2*0.2,2))</f>
        <v/>
      </c>
      <c r="AN164" s="44" t="str">
        <f aca="false">IF(OR(AF164="",AF164=0),"",AL164/AF164)</f>
        <v/>
      </c>
      <c r="AO164" s="42"/>
      <c r="AP164" s="42"/>
      <c r="AQ164" s="42"/>
      <c r="AR164" s="46" t="str">
        <f aca="true">IF(OR(A164="",P164=""),"",IF(AO164&lt;&gt;"",AO164-P164,TODAY()-P164))</f>
        <v/>
      </c>
      <c r="AS164" s="42"/>
    </row>
    <row r="165" customFormat="false" ht="21.75" hidden="false" customHeight="true" outlineLevel="0" collapsed="false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8" t="str">
        <f aca="false">IF(A165="","",SUM(Y165:AE165))</f>
        <v/>
      </c>
      <c r="AG165" s="38" t="str">
        <f aca="false">IF(AF165="","",ROUND(AF165*1.2/100,0)*100)</f>
        <v/>
      </c>
      <c r="AH165" s="38"/>
      <c r="AI165" s="38" t="str">
        <f aca="false">IF(AF165="","",ROUND(AF165*1.05/100,0)*100)</f>
        <v/>
      </c>
      <c r="AJ165" s="38" t="str">
        <f aca="false">IF(OR(AH165="",AF165=""),"",AH165-AF165)</f>
        <v/>
      </c>
      <c r="AK165" s="39" t="str">
        <f aca="false">IF(OR(AF165="",AF165=0),"",AJ165/AF165)</f>
        <v/>
      </c>
      <c r="AL165" s="38" t="str">
        <f aca="false">IF(AJ165="","",AJ165-AM165)</f>
        <v/>
      </c>
      <c r="AM165" s="40" t="str">
        <f aca="false">IF(OR(AH165="",AF165=""),"",ROUND((AH165-AF165)/1.2*0.2,2))</f>
        <v/>
      </c>
      <c r="AN165" s="39" t="str">
        <f aca="false">IF(OR(AF165="",AF165=0),"",AL165/AF165)</f>
        <v/>
      </c>
      <c r="AO165" s="37"/>
      <c r="AP165" s="37"/>
      <c r="AQ165" s="37"/>
      <c r="AR165" s="41" t="str">
        <f aca="true">IF(OR(A165="",P165=""),"",IF(AO165&lt;&gt;"",AO165-P165,TODAY()-P165))</f>
        <v/>
      </c>
      <c r="AS165" s="37"/>
    </row>
    <row r="166" customFormat="false" ht="21.75" hidden="false" customHeight="true" outlineLevel="0" collapsed="false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3" t="str">
        <f aca="false">IF(A166="","",SUM(Y166:AE166))</f>
        <v/>
      </c>
      <c r="AG166" s="43" t="str">
        <f aca="false">IF(AF166="","",ROUND(AF166*1.2/100,0)*100)</f>
        <v/>
      </c>
      <c r="AH166" s="43"/>
      <c r="AI166" s="43" t="str">
        <f aca="false">IF(AF166="","",ROUND(AF166*1.05/100,0)*100)</f>
        <v/>
      </c>
      <c r="AJ166" s="43" t="str">
        <f aca="false">IF(OR(AH166="",AF166=""),"",AH166-AF166)</f>
        <v/>
      </c>
      <c r="AK166" s="44" t="str">
        <f aca="false">IF(OR(AF166="",AF166=0),"",AJ166/AF166)</f>
        <v/>
      </c>
      <c r="AL166" s="43" t="str">
        <f aca="false">IF(AJ166="","",AJ166-AM166)</f>
        <v/>
      </c>
      <c r="AM166" s="45" t="str">
        <f aca="false">IF(OR(AH166="",AF166=""),"",ROUND((AH166-AF166)/1.2*0.2,2))</f>
        <v/>
      </c>
      <c r="AN166" s="44" t="str">
        <f aca="false">IF(OR(AF166="",AF166=0),"",AL166/AF166)</f>
        <v/>
      </c>
      <c r="AO166" s="42"/>
      <c r="AP166" s="42"/>
      <c r="AQ166" s="42"/>
      <c r="AR166" s="46" t="str">
        <f aca="true">IF(OR(A166="",P166=""),"",IF(AO166&lt;&gt;"",AO166-P166,TODAY()-P166))</f>
        <v/>
      </c>
      <c r="AS166" s="42"/>
    </row>
    <row r="167" customFormat="false" ht="21.75" hidden="false" customHeight="true" outlineLevel="0" collapsed="false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8" t="str">
        <f aca="false">IF(A167="","",SUM(Y167:AE167))</f>
        <v/>
      </c>
      <c r="AG167" s="38" t="str">
        <f aca="false">IF(AF167="","",ROUND(AF167*1.2/100,0)*100)</f>
        <v/>
      </c>
      <c r="AH167" s="38"/>
      <c r="AI167" s="38" t="str">
        <f aca="false">IF(AF167="","",ROUND(AF167*1.05/100,0)*100)</f>
        <v/>
      </c>
      <c r="AJ167" s="38" t="str">
        <f aca="false">IF(OR(AH167="",AF167=""),"",AH167-AF167)</f>
        <v/>
      </c>
      <c r="AK167" s="39" t="str">
        <f aca="false">IF(OR(AF167="",AF167=0),"",AJ167/AF167)</f>
        <v/>
      </c>
      <c r="AL167" s="38" t="str">
        <f aca="false">IF(AJ167="","",AJ167-AM167)</f>
        <v/>
      </c>
      <c r="AM167" s="40" t="str">
        <f aca="false">IF(OR(AH167="",AF167=""),"",ROUND((AH167-AF167)/1.2*0.2,2))</f>
        <v/>
      </c>
      <c r="AN167" s="39" t="str">
        <f aca="false">IF(OR(AF167="",AF167=0),"",AL167/AF167)</f>
        <v/>
      </c>
      <c r="AO167" s="37"/>
      <c r="AP167" s="37"/>
      <c r="AQ167" s="37"/>
      <c r="AR167" s="41" t="str">
        <f aca="true">IF(OR(A167="",P167=""),"",IF(AO167&lt;&gt;"",AO167-P167,TODAY()-P167))</f>
        <v/>
      </c>
      <c r="AS167" s="37"/>
    </row>
    <row r="168" customFormat="false" ht="21.75" hidden="false" customHeight="true" outlineLevel="0" collapsed="false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3" t="str">
        <f aca="false">IF(A168="","",SUM(Y168:AE168))</f>
        <v/>
      </c>
      <c r="AG168" s="43" t="str">
        <f aca="false">IF(AF168="","",ROUND(AF168*1.2/100,0)*100)</f>
        <v/>
      </c>
      <c r="AH168" s="43"/>
      <c r="AI168" s="43" t="str">
        <f aca="false">IF(AF168="","",ROUND(AF168*1.05/100,0)*100)</f>
        <v/>
      </c>
      <c r="AJ168" s="43" t="str">
        <f aca="false">IF(OR(AH168="",AF168=""),"",AH168-AF168)</f>
        <v/>
      </c>
      <c r="AK168" s="44" t="str">
        <f aca="false">IF(OR(AF168="",AF168=0),"",AJ168/AF168)</f>
        <v/>
      </c>
      <c r="AL168" s="43" t="str">
        <f aca="false">IF(AJ168="","",AJ168-AM168)</f>
        <v/>
      </c>
      <c r="AM168" s="45" t="str">
        <f aca="false">IF(OR(AH168="",AF168=""),"",ROUND((AH168-AF168)/1.2*0.2,2))</f>
        <v/>
      </c>
      <c r="AN168" s="44" t="str">
        <f aca="false">IF(OR(AF168="",AF168=0),"",AL168/AF168)</f>
        <v/>
      </c>
      <c r="AO168" s="42"/>
      <c r="AP168" s="42"/>
      <c r="AQ168" s="42"/>
      <c r="AR168" s="46" t="str">
        <f aca="true">IF(OR(A168="",P168=""),"",IF(AO168&lt;&gt;"",AO168-P168,TODAY()-P168))</f>
        <v/>
      </c>
      <c r="AS168" s="42"/>
    </row>
    <row r="169" customFormat="false" ht="21.75" hidden="false" customHeight="true" outlineLevel="0" collapsed="false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8" t="str">
        <f aca="false">IF(A169="","",SUM(Y169:AE169))</f>
        <v/>
      </c>
      <c r="AG169" s="38" t="str">
        <f aca="false">IF(AF169="","",ROUND(AF169*1.2/100,0)*100)</f>
        <v/>
      </c>
      <c r="AH169" s="38"/>
      <c r="AI169" s="38" t="str">
        <f aca="false">IF(AF169="","",ROUND(AF169*1.05/100,0)*100)</f>
        <v/>
      </c>
      <c r="AJ169" s="38" t="str">
        <f aca="false">IF(OR(AH169="",AF169=""),"",AH169-AF169)</f>
        <v/>
      </c>
      <c r="AK169" s="39" t="str">
        <f aca="false">IF(OR(AF169="",AF169=0),"",AJ169/AF169)</f>
        <v/>
      </c>
      <c r="AL169" s="38" t="str">
        <f aca="false">IF(AJ169="","",AJ169-AM169)</f>
        <v/>
      </c>
      <c r="AM169" s="40" t="str">
        <f aca="false">IF(OR(AH169="",AF169=""),"",ROUND((AH169-AF169)/1.2*0.2,2))</f>
        <v/>
      </c>
      <c r="AN169" s="39" t="str">
        <f aca="false">IF(OR(AF169="",AF169=0),"",AL169/AF169)</f>
        <v/>
      </c>
      <c r="AO169" s="37"/>
      <c r="AP169" s="37"/>
      <c r="AQ169" s="37"/>
      <c r="AR169" s="41" t="str">
        <f aca="true">IF(OR(A169="",P169=""),"",IF(AO169&lt;&gt;"",AO169-P169,TODAY()-P169))</f>
        <v/>
      </c>
      <c r="AS169" s="37"/>
    </row>
    <row r="170" customFormat="false" ht="21.75" hidden="false" customHeight="true" outlineLevel="0" collapsed="false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3" t="str">
        <f aca="false">IF(A170="","",SUM(Y170:AE170))</f>
        <v/>
      </c>
      <c r="AG170" s="43" t="str">
        <f aca="false">IF(AF170="","",ROUND(AF170*1.2/100,0)*100)</f>
        <v/>
      </c>
      <c r="AH170" s="43"/>
      <c r="AI170" s="43" t="str">
        <f aca="false">IF(AF170="","",ROUND(AF170*1.05/100,0)*100)</f>
        <v/>
      </c>
      <c r="AJ170" s="43" t="str">
        <f aca="false">IF(OR(AH170="",AF170=""),"",AH170-AF170)</f>
        <v/>
      </c>
      <c r="AK170" s="44" t="str">
        <f aca="false">IF(OR(AF170="",AF170=0),"",AJ170/AF170)</f>
        <v/>
      </c>
      <c r="AL170" s="43" t="str">
        <f aca="false">IF(AJ170="","",AJ170-AM170)</f>
        <v/>
      </c>
      <c r="AM170" s="45" t="str">
        <f aca="false">IF(OR(AH170="",AF170=""),"",ROUND((AH170-AF170)/1.2*0.2,2))</f>
        <v/>
      </c>
      <c r="AN170" s="44" t="str">
        <f aca="false">IF(OR(AF170="",AF170=0),"",AL170/AF170)</f>
        <v/>
      </c>
      <c r="AO170" s="42"/>
      <c r="AP170" s="42"/>
      <c r="AQ170" s="42"/>
      <c r="AR170" s="46" t="str">
        <f aca="true">IF(OR(A170="",P170=""),"",IF(AO170&lt;&gt;"",AO170-P170,TODAY()-P170))</f>
        <v/>
      </c>
      <c r="AS170" s="42"/>
    </row>
    <row r="171" customFormat="false" ht="21.75" hidden="false" customHeight="true" outlineLevel="0" collapsed="false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8" t="str">
        <f aca="false">IF(A171="","",SUM(Y171:AE171))</f>
        <v/>
      </c>
      <c r="AG171" s="38" t="str">
        <f aca="false">IF(AF171="","",ROUND(AF171*1.2/100,0)*100)</f>
        <v/>
      </c>
      <c r="AH171" s="38"/>
      <c r="AI171" s="38" t="str">
        <f aca="false">IF(AF171="","",ROUND(AF171*1.05/100,0)*100)</f>
        <v/>
      </c>
      <c r="AJ171" s="38" t="str">
        <f aca="false">IF(OR(AH171="",AF171=""),"",AH171-AF171)</f>
        <v/>
      </c>
      <c r="AK171" s="39" t="str">
        <f aca="false">IF(OR(AF171="",AF171=0),"",AJ171/AF171)</f>
        <v/>
      </c>
      <c r="AL171" s="38" t="str">
        <f aca="false">IF(AJ171="","",AJ171-AM171)</f>
        <v/>
      </c>
      <c r="AM171" s="40" t="str">
        <f aca="false">IF(OR(AH171="",AF171=""),"",ROUND((AH171-AF171)/1.2*0.2,2))</f>
        <v/>
      </c>
      <c r="AN171" s="39" t="str">
        <f aca="false">IF(OR(AF171="",AF171=0),"",AL171/AF171)</f>
        <v/>
      </c>
      <c r="AO171" s="37"/>
      <c r="AP171" s="37"/>
      <c r="AQ171" s="37"/>
      <c r="AR171" s="41" t="str">
        <f aca="true">IF(OR(A171="",P171=""),"",IF(AO171&lt;&gt;"",AO171-P171,TODAY()-P171))</f>
        <v/>
      </c>
      <c r="AS171" s="37"/>
    </row>
    <row r="172" customFormat="false" ht="21.75" hidden="false" customHeight="true" outlineLevel="0" collapsed="false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3" t="str">
        <f aca="false">IF(A172="","",SUM(Y172:AE172))</f>
        <v/>
      </c>
      <c r="AG172" s="43" t="str">
        <f aca="false">IF(AF172="","",ROUND(AF172*1.2/100,0)*100)</f>
        <v/>
      </c>
      <c r="AH172" s="43"/>
      <c r="AI172" s="43" t="str">
        <f aca="false">IF(AF172="","",ROUND(AF172*1.05/100,0)*100)</f>
        <v/>
      </c>
      <c r="AJ172" s="43" t="str">
        <f aca="false">IF(OR(AH172="",AF172=""),"",AH172-AF172)</f>
        <v/>
      </c>
      <c r="AK172" s="44" t="str">
        <f aca="false">IF(OR(AF172="",AF172=0),"",AJ172/AF172)</f>
        <v/>
      </c>
      <c r="AL172" s="43" t="str">
        <f aca="false">IF(AJ172="","",AJ172-AM172)</f>
        <v/>
      </c>
      <c r="AM172" s="45" t="str">
        <f aca="false">IF(OR(AH172="",AF172=""),"",ROUND((AH172-AF172)/1.2*0.2,2))</f>
        <v/>
      </c>
      <c r="AN172" s="44" t="str">
        <f aca="false">IF(OR(AF172="",AF172=0),"",AL172/AF172)</f>
        <v/>
      </c>
      <c r="AO172" s="42"/>
      <c r="AP172" s="42"/>
      <c r="AQ172" s="42"/>
      <c r="AR172" s="46" t="str">
        <f aca="true">IF(OR(A172="",P172=""),"",IF(AO172&lt;&gt;"",AO172-P172,TODAY()-P172))</f>
        <v/>
      </c>
      <c r="AS172" s="42"/>
    </row>
    <row r="173" customFormat="false" ht="21.75" hidden="false" customHeight="true" outlineLevel="0" collapsed="false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8" t="str">
        <f aca="false">IF(A173="","",SUM(Y173:AE173))</f>
        <v/>
      </c>
      <c r="AG173" s="38" t="str">
        <f aca="false">IF(AF173="","",ROUND(AF173*1.2/100,0)*100)</f>
        <v/>
      </c>
      <c r="AH173" s="38"/>
      <c r="AI173" s="38" t="str">
        <f aca="false">IF(AF173="","",ROUND(AF173*1.05/100,0)*100)</f>
        <v/>
      </c>
      <c r="AJ173" s="38" t="str">
        <f aca="false">IF(OR(AH173="",AF173=""),"",AH173-AF173)</f>
        <v/>
      </c>
      <c r="AK173" s="39" t="str">
        <f aca="false">IF(OR(AF173="",AF173=0),"",AJ173/AF173)</f>
        <v/>
      </c>
      <c r="AL173" s="38" t="str">
        <f aca="false">IF(AJ173="","",AJ173-AM173)</f>
        <v/>
      </c>
      <c r="AM173" s="40" t="str">
        <f aca="false">IF(OR(AH173="",AF173=""),"",ROUND((AH173-AF173)/1.2*0.2,2))</f>
        <v/>
      </c>
      <c r="AN173" s="39" t="str">
        <f aca="false">IF(OR(AF173="",AF173=0),"",AL173/AF173)</f>
        <v/>
      </c>
      <c r="AO173" s="37"/>
      <c r="AP173" s="37"/>
      <c r="AQ173" s="37"/>
      <c r="AR173" s="41" t="str">
        <f aca="true">IF(OR(A173="",P173=""),"",IF(AO173&lt;&gt;"",AO173-P173,TODAY()-P173))</f>
        <v/>
      </c>
      <c r="AS173" s="37"/>
    </row>
    <row r="174" customFormat="false" ht="21.75" hidden="false" customHeight="true" outlineLevel="0" collapsed="false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3" t="str">
        <f aca="false">IF(A174="","",SUM(Y174:AE174))</f>
        <v/>
      </c>
      <c r="AG174" s="43" t="str">
        <f aca="false">IF(AF174="","",ROUND(AF174*1.2/100,0)*100)</f>
        <v/>
      </c>
      <c r="AH174" s="43"/>
      <c r="AI174" s="43" t="str">
        <f aca="false">IF(AF174="","",ROUND(AF174*1.05/100,0)*100)</f>
        <v/>
      </c>
      <c r="AJ174" s="43" t="str">
        <f aca="false">IF(OR(AH174="",AF174=""),"",AH174-AF174)</f>
        <v/>
      </c>
      <c r="AK174" s="44" t="str">
        <f aca="false">IF(OR(AF174="",AF174=0),"",AJ174/AF174)</f>
        <v/>
      </c>
      <c r="AL174" s="43" t="str">
        <f aca="false">IF(AJ174="","",AJ174-AM174)</f>
        <v/>
      </c>
      <c r="AM174" s="45" t="str">
        <f aca="false">IF(OR(AH174="",AF174=""),"",ROUND((AH174-AF174)/1.2*0.2,2))</f>
        <v/>
      </c>
      <c r="AN174" s="44" t="str">
        <f aca="false">IF(OR(AF174="",AF174=0),"",AL174/AF174)</f>
        <v/>
      </c>
      <c r="AO174" s="42"/>
      <c r="AP174" s="42"/>
      <c r="AQ174" s="42"/>
      <c r="AR174" s="46" t="str">
        <f aca="true">IF(OR(A174="",P174=""),"",IF(AO174&lt;&gt;"",AO174-P174,TODAY()-P174))</f>
        <v/>
      </c>
      <c r="AS174" s="42"/>
    </row>
    <row r="175" customFormat="false" ht="21.75" hidden="false" customHeight="true" outlineLevel="0" collapsed="false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8" t="str">
        <f aca="false">IF(A175="","",SUM(Y175:AE175))</f>
        <v/>
      </c>
      <c r="AG175" s="38" t="str">
        <f aca="false">IF(AF175="","",ROUND(AF175*1.2/100,0)*100)</f>
        <v/>
      </c>
      <c r="AH175" s="38"/>
      <c r="AI175" s="38" t="str">
        <f aca="false">IF(AF175="","",ROUND(AF175*1.05/100,0)*100)</f>
        <v/>
      </c>
      <c r="AJ175" s="38" t="str">
        <f aca="false">IF(OR(AH175="",AF175=""),"",AH175-AF175)</f>
        <v/>
      </c>
      <c r="AK175" s="39" t="str">
        <f aca="false">IF(OR(AF175="",AF175=0),"",AJ175/AF175)</f>
        <v/>
      </c>
      <c r="AL175" s="38" t="str">
        <f aca="false">IF(AJ175="","",AJ175-AM175)</f>
        <v/>
      </c>
      <c r="AM175" s="40" t="str">
        <f aca="false">IF(OR(AH175="",AF175=""),"",ROUND((AH175-AF175)/1.2*0.2,2))</f>
        <v/>
      </c>
      <c r="AN175" s="39" t="str">
        <f aca="false">IF(OR(AF175="",AF175=0),"",AL175/AF175)</f>
        <v/>
      </c>
      <c r="AO175" s="37"/>
      <c r="AP175" s="37"/>
      <c r="AQ175" s="37"/>
      <c r="AR175" s="41" t="str">
        <f aca="true">IF(OR(A175="",P175=""),"",IF(AO175&lt;&gt;"",AO175-P175,TODAY()-P175))</f>
        <v/>
      </c>
      <c r="AS175" s="37"/>
    </row>
    <row r="176" customFormat="false" ht="21.75" hidden="false" customHeight="true" outlineLevel="0" collapsed="false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3" t="str">
        <f aca="false">IF(A176="","",SUM(Y176:AE176))</f>
        <v/>
      </c>
      <c r="AG176" s="43" t="str">
        <f aca="false">IF(AF176="","",ROUND(AF176*1.2/100,0)*100)</f>
        <v/>
      </c>
      <c r="AH176" s="43"/>
      <c r="AI176" s="43" t="str">
        <f aca="false">IF(AF176="","",ROUND(AF176*1.05/100,0)*100)</f>
        <v/>
      </c>
      <c r="AJ176" s="43" t="str">
        <f aca="false">IF(OR(AH176="",AF176=""),"",AH176-AF176)</f>
        <v/>
      </c>
      <c r="AK176" s="44" t="str">
        <f aca="false">IF(OR(AF176="",AF176=0),"",AJ176/AF176)</f>
        <v/>
      </c>
      <c r="AL176" s="43" t="str">
        <f aca="false">IF(AJ176="","",AJ176-AM176)</f>
        <v/>
      </c>
      <c r="AM176" s="45" t="str">
        <f aca="false">IF(OR(AH176="",AF176=""),"",ROUND((AH176-AF176)/1.2*0.2,2))</f>
        <v/>
      </c>
      <c r="AN176" s="44" t="str">
        <f aca="false">IF(OR(AF176="",AF176=0),"",AL176/AF176)</f>
        <v/>
      </c>
      <c r="AO176" s="42"/>
      <c r="AP176" s="42"/>
      <c r="AQ176" s="42"/>
      <c r="AR176" s="46" t="str">
        <f aca="true">IF(OR(A176="",P176=""),"",IF(AO176&lt;&gt;"",AO176-P176,TODAY()-P176))</f>
        <v/>
      </c>
      <c r="AS176" s="42"/>
    </row>
    <row r="177" customFormat="false" ht="21.75" hidden="false" customHeight="true" outlineLevel="0" collapsed="false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8" t="str">
        <f aca="false">IF(A177="","",SUM(Y177:AE177))</f>
        <v/>
      </c>
      <c r="AG177" s="38" t="str">
        <f aca="false">IF(AF177="","",ROUND(AF177*1.2/100,0)*100)</f>
        <v/>
      </c>
      <c r="AH177" s="38"/>
      <c r="AI177" s="38" t="str">
        <f aca="false">IF(AF177="","",ROUND(AF177*1.05/100,0)*100)</f>
        <v/>
      </c>
      <c r="AJ177" s="38" t="str">
        <f aca="false">IF(OR(AH177="",AF177=""),"",AH177-AF177)</f>
        <v/>
      </c>
      <c r="AK177" s="39" t="str">
        <f aca="false">IF(OR(AF177="",AF177=0),"",AJ177/AF177)</f>
        <v/>
      </c>
      <c r="AL177" s="38" t="str">
        <f aca="false">IF(AJ177="","",AJ177-AM177)</f>
        <v/>
      </c>
      <c r="AM177" s="40" t="str">
        <f aca="false">IF(OR(AH177="",AF177=""),"",ROUND((AH177-AF177)/1.2*0.2,2))</f>
        <v/>
      </c>
      <c r="AN177" s="39" t="str">
        <f aca="false">IF(OR(AF177="",AF177=0),"",AL177/AF177)</f>
        <v/>
      </c>
      <c r="AO177" s="37"/>
      <c r="AP177" s="37"/>
      <c r="AQ177" s="37"/>
      <c r="AR177" s="41" t="str">
        <f aca="true">IF(OR(A177="",P177=""),"",IF(AO177&lt;&gt;"",AO177-P177,TODAY()-P177))</f>
        <v/>
      </c>
      <c r="AS177" s="37"/>
    </row>
    <row r="178" customFormat="false" ht="21.75" hidden="false" customHeight="true" outlineLevel="0" collapsed="false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3" t="str">
        <f aca="false">IF(A178="","",SUM(Y178:AE178))</f>
        <v/>
      </c>
      <c r="AG178" s="43" t="str">
        <f aca="false">IF(AF178="","",ROUND(AF178*1.2/100,0)*100)</f>
        <v/>
      </c>
      <c r="AH178" s="43"/>
      <c r="AI178" s="43" t="str">
        <f aca="false">IF(AF178="","",ROUND(AF178*1.05/100,0)*100)</f>
        <v/>
      </c>
      <c r="AJ178" s="43" t="str">
        <f aca="false">IF(OR(AH178="",AF178=""),"",AH178-AF178)</f>
        <v/>
      </c>
      <c r="AK178" s="44" t="str">
        <f aca="false">IF(OR(AF178="",AF178=0),"",AJ178/AF178)</f>
        <v/>
      </c>
      <c r="AL178" s="43" t="str">
        <f aca="false">IF(AJ178="","",AJ178-AM178)</f>
        <v/>
      </c>
      <c r="AM178" s="45" t="str">
        <f aca="false">IF(OR(AH178="",AF178=""),"",ROUND((AH178-AF178)/1.2*0.2,2))</f>
        <v/>
      </c>
      <c r="AN178" s="44" t="str">
        <f aca="false">IF(OR(AF178="",AF178=0),"",AL178/AF178)</f>
        <v/>
      </c>
      <c r="AO178" s="42"/>
      <c r="AP178" s="42"/>
      <c r="AQ178" s="42"/>
      <c r="AR178" s="46" t="str">
        <f aca="true">IF(OR(A178="",P178=""),"",IF(AO178&lt;&gt;"",AO178-P178,TODAY()-P178))</f>
        <v/>
      </c>
      <c r="AS178" s="42"/>
    </row>
    <row r="179" customFormat="false" ht="21.75" hidden="false" customHeight="true" outlineLevel="0" collapsed="false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8" t="str">
        <f aca="false">IF(A179="","",SUM(Y179:AE179))</f>
        <v/>
      </c>
      <c r="AG179" s="38" t="str">
        <f aca="false">IF(AF179="","",ROUND(AF179*1.2/100,0)*100)</f>
        <v/>
      </c>
      <c r="AH179" s="38"/>
      <c r="AI179" s="38" t="str">
        <f aca="false">IF(AF179="","",ROUND(AF179*1.05/100,0)*100)</f>
        <v/>
      </c>
      <c r="AJ179" s="38" t="str">
        <f aca="false">IF(OR(AH179="",AF179=""),"",AH179-AF179)</f>
        <v/>
      </c>
      <c r="AK179" s="39" t="str">
        <f aca="false">IF(OR(AF179="",AF179=0),"",AJ179/AF179)</f>
        <v/>
      </c>
      <c r="AL179" s="38" t="str">
        <f aca="false">IF(AJ179="","",AJ179-AM179)</f>
        <v/>
      </c>
      <c r="AM179" s="40" t="str">
        <f aca="false">IF(OR(AH179="",AF179=""),"",ROUND((AH179-AF179)/1.2*0.2,2))</f>
        <v/>
      </c>
      <c r="AN179" s="39" t="str">
        <f aca="false">IF(OR(AF179="",AF179=0),"",AL179/AF179)</f>
        <v/>
      </c>
      <c r="AO179" s="37"/>
      <c r="AP179" s="37"/>
      <c r="AQ179" s="37"/>
      <c r="AR179" s="41" t="str">
        <f aca="true">IF(OR(A179="",P179=""),"",IF(AO179&lt;&gt;"",AO179-P179,TODAY()-P179))</f>
        <v/>
      </c>
      <c r="AS179" s="37"/>
    </row>
    <row r="180" customFormat="false" ht="21.75" hidden="false" customHeight="true" outlineLevel="0" collapsed="false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3" t="str">
        <f aca="false">IF(A180="","",SUM(Y180:AE180))</f>
        <v/>
      </c>
      <c r="AG180" s="43" t="str">
        <f aca="false">IF(AF180="","",ROUND(AF180*1.2/100,0)*100)</f>
        <v/>
      </c>
      <c r="AH180" s="43"/>
      <c r="AI180" s="43" t="str">
        <f aca="false">IF(AF180="","",ROUND(AF180*1.05/100,0)*100)</f>
        <v/>
      </c>
      <c r="AJ180" s="43" t="str">
        <f aca="false">IF(OR(AH180="",AF180=""),"",AH180-AF180)</f>
        <v/>
      </c>
      <c r="AK180" s="44" t="str">
        <f aca="false">IF(OR(AF180="",AF180=0),"",AJ180/AF180)</f>
        <v/>
      </c>
      <c r="AL180" s="43" t="str">
        <f aca="false">IF(AJ180="","",AJ180-AM180)</f>
        <v/>
      </c>
      <c r="AM180" s="45" t="str">
        <f aca="false">IF(OR(AH180="",AF180=""),"",ROUND((AH180-AF180)/1.2*0.2,2))</f>
        <v/>
      </c>
      <c r="AN180" s="44" t="str">
        <f aca="false">IF(OR(AF180="",AF180=0),"",AL180/AF180)</f>
        <v/>
      </c>
      <c r="AO180" s="42"/>
      <c r="AP180" s="42"/>
      <c r="AQ180" s="42"/>
      <c r="AR180" s="46" t="str">
        <f aca="true">IF(OR(A180="",P180=""),"",IF(AO180&lt;&gt;"",AO180-P180,TODAY()-P180))</f>
        <v/>
      </c>
      <c r="AS180" s="42"/>
    </row>
    <row r="181" customFormat="false" ht="21.75" hidden="false" customHeight="true" outlineLevel="0" collapsed="false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8" t="str">
        <f aca="false">IF(A181="","",SUM(Y181:AE181))</f>
        <v/>
      </c>
      <c r="AG181" s="38" t="str">
        <f aca="false">IF(AF181="","",ROUND(AF181*1.2/100,0)*100)</f>
        <v/>
      </c>
      <c r="AH181" s="38"/>
      <c r="AI181" s="38" t="str">
        <f aca="false">IF(AF181="","",ROUND(AF181*1.05/100,0)*100)</f>
        <v/>
      </c>
      <c r="AJ181" s="38" t="str">
        <f aca="false">IF(OR(AH181="",AF181=""),"",AH181-AF181)</f>
        <v/>
      </c>
      <c r="AK181" s="39" t="str">
        <f aca="false">IF(OR(AF181="",AF181=0),"",AJ181/AF181)</f>
        <v/>
      </c>
      <c r="AL181" s="38" t="str">
        <f aca="false">IF(AJ181="","",AJ181-AM181)</f>
        <v/>
      </c>
      <c r="AM181" s="40" t="str">
        <f aca="false">IF(OR(AH181="",AF181=""),"",ROUND((AH181-AF181)/1.2*0.2,2))</f>
        <v/>
      </c>
      <c r="AN181" s="39" t="str">
        <f aca="false">IF(OR(AF181="",AF181=0),"",AL181/AF181)</f>
        <v/>
      </c>
      <c r="AO181" s="37"/>
      <c r="AP181" s="37"/>
      <c r="AQ181" s="37"/>
      <c r="AR181" s="41" t="str">
        <f aca="true">IF(OR(A181="",P181=""),"",IF(AO181&lt;&gt;"",AO181-P181,TODAY()-P181))</f>
        <v/>
      </c>
      <c r="AS181" s="37"/>
    </row>
    <row r="182" customFormat="false" ht="21.75" hidden="false" customHeight="true" outlineLevel="0" collapsed="false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3" t="str">
        <f aca="false">IF(A182="","",SUM(Y182:AE182))</f>
        <v/>
      </c>
      <c r="AG182" s="43" t="str">
        <f aca="false">IF(AF182="","",ROUND(AF182*1.2/100,0)*100)</f>
        <v/>
      </c>
      <c r="AH182" s="43"/>
      <c r="AI182" s="43" t="str">
        <f aca="false">IF(AF182="","",ROUND(AF182*1.05/100,0)*100)</f>
        <v/>
      </c>
      <c r="AJ182" s="43" t="str">
        <f aca="false">IF(OR(AH182="",AF182=""),"",AH182-AF182)</f>
        <v/>
      </c>
      <c r="AK182" s="44" t="str">
        <f aca="false">IF(OR(AF182="",AF182=0),"",AJ182/AF182)</f>
        <v/>
      </c>
      <c r="AL182" s="43" t="str">
        <f aca="false">IF(AJ182="","",AJ182-AM182)</f>
        <v/>
      </c>
      <c r="AM182" s="45" t="str">
        <f aca="false">IF(OR(AH182="",AF182=""),"",ROUND((AH182-AF182)/1.2*0.2,2))</f>
        <v/>
      </c>
      <c r="AN182" s="44" t="str">
        <f aca="false">IF(OR(AF182="",AF182=0),"",AL182/AF182)</f>
        <v/>
      </c>
      <c r="AO182" s="42"/>
      <c r="AP182" s="42"/>
      <c r="AQ182" s="42"/>
      <c r="AR182" s="46" t="str">
        <f aca="true">IF(OR(A182="",P182=""),"",IF(AO182&lt;&gt;"",AO182-P182,TODAY()-P182))</f>
        <v/>
      </c>
      <c r="AS182" s="42"/>
    </row>
    <row r="183" customFormat="false" ht="21.75" hidden="false" customHeight="true" outlineLevel="0" collapsed="false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8" t="str">
        <f aca="false">IF(A183="","",SUM(Y183:AE183))</f>
        <v/>
      </c>
      <c r="AG183" s="38" t="str">
        <f aca="false">IF(AF183="","",ROUND(AF183*1.2/100,0)*100)</f>
        <v/>
      </c>
      <c r="AH183" s="38"/>
      <c r="AI183" s="38" t="str">
        <f aca="false">IF(AF183="","",ROUND(AF183*1.05/100,0)*100)</f>
        <v/>
      </c>
      <c r="AJ183" s="38" t="str">
        <f aca="false">IF(OR(AH183="",AF183=""),"",AH183-AF183)</f>
        <v/>
      </c>
      <c r="AK183" s="39" t="str">
        <f aca="false">IF(OR(AF183="",AF183=0),"",AJ183/AF183)</f>
        <v/>
      </c>
      <c r="AL183" s="38" t="str">
        <f aca="false">IF(AJ183="","",AJ183-AM183)</f>
        <v/>
      </c>
      <c r="AM183" s="40" t="str">
        <f aca="false">IF(OR(AH183="",AF183=""),"",ROUND((AH183-AF183)/1.2*0.2,2))</f>
        <v/>
      </c>
      <c r="AN183" s="39" t="str">
        <f aca="false">IF(OR(AF183="",AF183=0),"",AL183/AF183)</f>
        <v/>
      </c>
      <c r="AO183" s="37"/>
      <c r="AP183" s="37"/>
      <c r="AQ183" s="37"/>
      <c r="AR183" s="41" t="str">
        <f aca="true">IF(OR(A183="",P183=""),"",IF(AO183&lt;&gt;"",AO183-P183,TODAY()-P183))</f>
        <v/>
      </c>
      <c r="AS183" s="37"/>
    </row>
    <row r="184" customFormat="false" ht="21.75" hidden="false" customHeight="true" outlineLevel="0" collapsed="false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3" t="str">
        <f aca="false">IF(A184="","",SUM(Y184:AE184))</f>
        <v/>
      </c>
      <c r="AG184" s="43" t="str">
        <f aca="false">IF(AF184="","",ROUND(AF184*1.2/100,0)*100)</f>
        <v/>
      </c>
      <c r="AH184" s="43"/>
      <c r="AI184" s="43" t="str">
        <f aca="false">IF(AF184="","",ROUND(AF184*1.05/100,0)*100)</f>
        <v/>
      </c>
      <c r="AJ184" s="43" t="str">
        <f aca="false">IF(OR(AH184="",AF184=""),"",AH184-AF184)</f>
        <v/>
      </c>
      <c r="AK184" s="44" t="str">
        <f aca="false">IF(OR(AF184="",AF184=0),"",AJ184/AF184)</f>
        <v/>
      </c>
      <c r="AL184" s="43" t="str">
        <f aca="false">IF(AJ184="","",AJ184-AM184)</f>
        <v/>
      </c>
      <c r="AM184" s="45" t="str">
        <f aca="false">IF(OR(AH184="",AF184=""),"",ROUND((AH184-AF184)/1.2*0.2,2))</f>
        <v/>
      </c>
      <c r="AN184" s="44" t="str">
        <f aca="false">IF(OR(AF184="",AF184=0),"",AL184/AF184)</f>
        <v/>
      </c>
      <c r="AO184" s="42"/>
      <c r="AP184" s="42"/>
      <c r="AQ184" s="42"/>
      <c r="AR184" s="46" t="str">
        <f aca="true">IF(OR(A184="",P184=""),"",IF(AO184&lt;&gt;"",AO184-P184,TODAY()-P184))</f>
        <v/>
      </c>
      <c r="AS184" s="42"/>
    </row>
    <row r="185" customFormat="false" ht="21.75" hidden="false" customHeight="true" outlineLevel="0" collapsed="false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8" t="str">
        <f aca="false">IF(A185="","",SUM(Y185:AE185))</f>
        <v/>
      </c>
      <c r="AG185" s="38" t="str">
        <f aca="false">IF(AF185="","",ROUND(AF185*1.2/100,0)*100)</f>
        <v/>
      </c>
      <c r="AH185" s="38"/>
      <c r="AI185" s="38" t="str">
        <f aca="false">IF(AF185="","",ROUND(AF185*1.05/100,0)*100)</f>
        <v/>
      </c>
      <c r="AJ185" s="38" t="str">
        <f aca="false">IF(OR(AH185="",AF185=""),"",AH185-AF185)</f>
        <v/>
      </c>
      <c r="AK185" s="39" t="str">
        <f aca="false">IF(OR(AF185="",AF185=0),"",AJ185/AF185)</f>
        <v/>
      </c>
      <c r="AL185" s="38" t="str">
        <f aca="false">IF(AJ185="","",AJ185-AM185)</f>
        <v/>
      </c>
      <c r="AM185" s="40" t="str">
        <f aca="false">IF(OR(AH185="",AF185=""),"",ROUND((AH185-AF185)/1.2*0.2,2))</f>
        <v/>
      </c>
      <c r="AN185" s="39" t="str">
        <f aca="false">IF(OR(AF185="",AF185=0),"",AL185/AF185)</f>
        <v/>
      </c>
      <c r="AO185" s="37"/>
      <c r="AP185" s="37"/>
      <c r="AQ185" s="37"/>
      <c r="AR185" s="41" t="str">
        <f aca="true">IF(OR(A185="",P185=""),"",IF(AO185&lt;&gt;"",AO185-P185,TODAY()-P185))</f>
        <v/>
      </c>
      <c r="AS185" s="37"/>
    </row>
    <row r="186" customFormat="false" ht="21.75" hidden="false" customHeight="true" outlineLevel="0" collapsed="false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3" t="str">
        <f aca="false">IF(A186="","",SUM(Y186:AE186))</f>
        <v/>
      </c>
      <c r="AG186" s="43" t="str">
        <f aca="false">IF(AF186="","",ROUND(AF186*1.2/100,0)*100)</f>
        <v/>
      </c>
      <c r="AH186" s="43"/>
      <c r="AI186" s="43" t="str">
        <f aca="false">IF(AF186="","",ROUND(AF186*1.05/100,0)*100)</f>
        <v/>
      </c>
      <c r="AJ186" s="43" t="str">
        <f aca="false">IF(OR(AH186="",AF186=""),"",AH186-AF186)</f>
        <v/>
      </c>
      <c r="AK186" s="44" t="str">
        <f aca="false">IF(OR(AF186="",AF186=0),"",AJ186/AF186)</f>
        <v/>
      </c>
      <c r="AL186" s="43" t="str">
        <f aca="false">IF(AJ186="","",AJ186-AM186)</f>
        <v/>
      </c>
      <c r="AM186" s="45" t="str">
        <f aca="false">IF(OR(AH186="",AF186=""),"",ROUND((AH186-AF186)/1.2*0.2,2))</f>
        <v/>
      </c>
      <c r="AN186" s="44" t="str">
        <f aca="false">IF(OR(AF186="",AF186=0),"",AL186/AF186)</f>
        <v/>
      </c>
      <c r="AO186" s="42"/>
      <c r="AP186" s="42"/>
      <c r="AQ186" s="42"/>
      <c r="AR186" s="46" t="str">
        <f aca="true">IF(OR(A186="",P186=""),"",IF(AO186&lt;&gt;"",AO186-P186,TODAY()-P186))</f>
        <v/>
      </c>
      <c r="AS186" s="42"/>
    </row>
    <row r="187" customFormat="false" ht="21.75" hidden="false" customHeight="true" outlineLevel="0" collapsed="false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8" t="str">
        <f aca="false">IF(A187="","",SUM(Y187:AE187))</f>
        <v/>
      </c>
      <c r="AG187" s="38" t="str">
        <f aca="false">IF(AF187="","",ROUND(AF187*1.2/100,0)*100)</f>
        <v/>
      </c>
      <c r="AH187" s="38"/>
      <c r="AI187" s="38" t="str">
        <f aca="false">IF(AF187="","",ROUND(AF187*1.05/100,0)*100)</f>
        <v/>
      </c>
      <c r="AJ187" s="38" t="str">
        <f aca="false">IF(OR(AH187="",AF187=""),"",AH187-AF187)</f>
        <v/>
      </c>
      <c r="AK187" s="39" t="str">
        <f aca="false">IF(OR(AF187="",AF187=0),"",AJ187/AF187)</f>
        <v/>
      </c>
      <c r="AL187" s="38" t="str">
        <f aca="false">IF(AJ187="","",AJ187-AM187)</f>
        <v/>
      </c>
      <c r="AM187" s="40" t="str">
        <f aca="false">IF(OR(AH187="",AF187=""),"",ROUND((AH187-AF187)/1.2*0.2,2))</f>
        <v/>
      </c>
      <c r="AN187" s="39" t="str">
        <f aca="false">IF(OR(AF187="",AF187=0),"",AL187/AF187)</f>
        <v/>
      </c>
      <c r="AO187" s="37"/>
      <c r="AP187" s="37"/>
      <c r="AQ187" s="37"/>
      <c r="AR187" s="41" t="str">
        <f aca="true">IF(OR(A187="",P187=""),"",IF(AO187&lt;&gt;"",AO187-P187,TODAY()-P187))</f>
        <v/>
      </c>
      <c r="AS187" s="37"/>
    </row>
    <row r="188" customFormat="false" ht="21.75" hidden="false" customHeight="true" outlineLevel="0" collapsed="false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3" t="str">
        <f aca="false">IF(A188="","",SUM(Y188:AE188))</f>
        <v/>
      </c>
      <c r="AG188" s="43" t="str">
        <f aca="false">IF(AF188="","",ROUND(AF188*1.2/100,0)*100)</f>
        <v/>
      </c>
      <c r="AH188" s="43"/>
      <c r="AI188" s="43" t="str">
        <f aca="false">IF(AF188="","",ROUND(AF188*1.05/100,0)*100)</f>
        <v/>
      </c>
      <c r="AJ188" s="43" t="str">
        <f aca="false">IF(OR(AH188="",AF188=""),"",AH188-AF188)</f>
        <v/>
      </c>
      <c r="AK188" s="44" t="str">
        <f aca="false">IF(OR(AF188="",AF188=0),"",AJ188/AF188)</f>
        <v/>
      </c>
      <c r="AL188" s="43" t="str">
        <f aca="false">IF(AJ188="","",AJ188-AM188)</f>
        <v/>
      </c>
      <c r="AM188" s="45" t="str">
        <f aca="false">IF(OR(AH188="",AF188=""),"",ROUND((AH188-AF188)/1.2*0.2,2))</f>
        <v/>
      </c>
      <c r="AN188" s="44" t="str">
        <f aca="false">IF(OR(AF188="",AF188=0),"",AL188/AF188)</f>
        <v/>
      </c>
      <c r="AO188" s="42"/>
      <c r="AP188" s="42"/>
      <c r="AQ188" s="42"/>
      <c r="AR188" s="46" t="str">
        <f aca="true">IF(OR(A188="",P188=""),"",IF(AO188&lt;&gt;"",AO188-P188,TODAY()-P188))</f>
        <v/>
      </c>
      <c r="AS188" s="42"/>
    </row>
    <row r="189" customFormat="false" ht="21.75" hidden="false" customHeight="true" outlineLevel="0" collapsed="false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8" t="str">
        <f aca="false">IF(A189="","",SUM(Y189:AE189))</f>
        <v/>
      </c>
      <c r="AG189" s="38" t="str">
        <f aca="false">IF(AF189="","",ROUND(AF189*1.2/100,0)*100)</f>
        <v/>
      </c>
      <c r="AH189" s="38"/>
      <c r="AI189" s="38" t="str">
        <f aca="false">IF(AF189="","",ROUND(AF189*1.05/100,0)*100)</f>
        <v/>
      </c>
      <c r="AJ189" s="38" t="str">
        <f aca="false">IF(OR(AH189="",AF189=""),"",AH189-AF189)</f>
        <v/>
      </c>
      <c r="AK189" s="39" t="str">
        <f aca="false">IF(OR(AF189="",AF189=0),"",AJ189/AF189)</f>
        <v/>
      </c>
      <c r="AL189" s="38" t="str">
        <f aca="false">IF(AJ189="","",AJ189-AM189)</f>
        <v/>
      </c>
      <c r="AM189" s="40" t="str">
        <f aca="false">IF(OR(AH189="",AF189=""),"",ROUND((AH189-AF189)/1.2*0.2,2))</f>
        <v/>
      </c>
      <c r="AN189" s="39" t="str">
        <f aca="false">IF(OR(AF189="",AF189=0),"",AL189/AF189)</f>
        <v/>
      </c>
      <c r="AO189" s="37"/>
      <c r="AP189" s="37"/>
      <c r="AQ189" s="37"/>
      <c r="AR189" s="41" t="str">
        <f aca="true">IF(OR(A189="",P189=""),"",IF(AO189&lt;&gt;"",AO189-P189,TODAY()-P189))</f>
        <v/>
      </c>
      <c r="AS189" s="37"/>
    </row>
    <row r="190" customFormat="false" ht="21.75" hidden="false" customHeight="true" outlineLevel="0" collapsed="false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3" t="str">
        <f aca="false">IF(A190="","",SUM(Y190:AE190))</f>
        <v/>
      </c>
      <c r="AG190" s="43" t="str">
        <f aca="false">IF(AF190="","",ROUND(AF190*1.2/100,0)*100)</f>
        <v/>
      </c>
      <c r="AH190" s="43"/>
      <c r="AI190" s="43" t="str">
        <f aca="false">IF(AF190="","",ROUND(AF190*1.05/100,0)*100)</f>
        <v/>
      </c>
      <c r="AJ190" s="43" t="str">
        <f aca="false">IF(OR(AH190="",AF190=""),"",AH190-AF190)</f>
        <v/>
      </c>
      <c r="AK190" s="44" t="str">
        <f aca="false">IF(OR(AF190="",AF190=0),"",AJ190/AF190)</f>
        <v/>
      </c>
      <c r="AL190" s="43" t="str">
        <f aca="false">IF(AJ190="","",AJ190-AM190)</f>
        <v/>
      </c>
      <c r="AM190" s="45" t="str">
        <f aca="false">IF(OR(AH190="",AF190=""),"",ROUND((AH190-AF190)/1.2*0.2,2))</f>
        <v/>
      </c>
      <c r="AN190" s="44" t="str">
        <f aca="false">IF(OR(AF190="",AF190=0),"",AL190/AF190)</f>
        <v/>
      </c>
      <c r="AO190" s="42"/>
      <c r="AP190" s="42"/>
      <c r="AQ190" s="42"/>
      <c r="AR190" s="46" t="str">
        <f aca="true">IF(OR(A190="",P190=""),"",IF(AO190&lt;&gt;"",AO190-P190,TODAY()-P190))</f>
        <v/>
      </c>
      <c r="AS190" s="42"/>
    </row>
    <row r="191" customFormat="false" ht="21.75" hidden="false" customHeight="true" outlineLevel="0" collapsed="false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8" t="str">
        <f aca="false">IF(A191="","",SUM(Y191:AE191))</f>
        <v/>
      </c>
      <c r="AG191" s="38" t="str">
        <f aca="false">IF(AF191="","",ROUND(AF191*1.2/100,0)*100)</f>
        <v/>
      </c>
      <c r="AH191" s="38"/>
      <c r="AI191" s="38" t="str">
        <f aca="false">IF(AF191="","",ROUND(AF191*1.05/100,0)*100)</f>
        <v/>
      </c>
      <c r="AJ191" s="38" t="str">
        <f aca="false">IF(OR(AH191="",AF191=""),"",AH191-AF191)</f>
        <v/>
      </c>
      <c r="AK191" s="39" t="str">
        <f aca="false">IF(OR(AF191="",AF191=0),"",AJ191/AF191)</f>
        <v/>
      </c>
      <c r="AL191" s="38" t="str">
        <f aca="false">IF(AJ191="","",AJ191-AM191)</f>
        <v/>
      </c>
      <c r="AM191" s="40" t="str">
        <f aca="false">IF(OR(AH191="",AF191=""),"",ROUND((AH191-AF191)/1.2*0.2,2))</f>
        <v/>
      </c>
      <c r="AN191" s="39" t="str">
        <f aca="false">IF(OR(AF191="",AF191=0),"",AL191/AF191)</f>
        <v/>
      </c>
      <c r="AO191" s="37"/>
      <c r="AP191" s="37"/>
      <c r="AQ191" s="37"/>
      <c r="AR191" s="41" t="str">
        <f aca="true">IF(OR(A191="",P191=""),"",IF(AO191&lt;&gt;"",AO191-P191,TODAY()-P191))</f>
        <v/>
      </c>
      <c r="AS191" s="37"/>
    </row>
    <row r="192" customFormat="false" ht="21.75" hidden="false" customHeight="true" outlineLevel="0" collapsed="false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3" t="str">
        <f aca="false">IF(A192="","",SUM(Y192:AE192))</f>
        <v/>
      </c>
      <c r="AG192" s="43" t="str">
        <f aca="false">IF(AF192="","",ROUND(AF192*1.2/100,0)*100)</f>
        <v/>
      </c>
      <c r="AH192" s="43"/>
      <c r="AI192" s="43" t="str">
        <f aca="false">IF(AF192="","",ROUND(AF192*1.05/100,0)*100)</f>
        <v/>
      </c>
      <c r="AJ192" s="43" t="str">
        <f aca="false">IF(OR(AH192="",AF192=""),"",AH192-AF192)</f>
        <v/>
      </c>
      <c r="AK192" s="44" t="str">
        <f aca="false">IF(OR(AF192="",AF192=0),"",AJ192/AF192)</f>
        <v/>
      </c>
      <c r="AL192" s="43" t="str">
        <f aca="false">IF(AJ192="","",AJ192-AM192)</f>
        <v/>
      </c>
      <c r="AM192" s="45" t="str">
        <f aca="false">IF(OR(AH192="",AF192=""),"",ROUND((AH192-AF192)/1.2*0.2,2))</f>
        <v/>
      </c>
      <c r="AN192" s="44" t="str">
        <f aca="false">IF(OR(AF192="",AF192=0),"",AL192/AF192)</f>
        <v/>
      </c>
      <c r="AO192" s="42"/>
      <c r="AP192" s="42"/>
      <c r="AQ192" s="42"/>
      <c r="AR192" s="46" t="str">
        <f aca="true">IF(OR(A192="",P192=""),"",IF(AO192&lt;&gt;"",AO192-P192,TODAY()-P192))</f>
        <v/>
      </c>
      <c r="AS192" s="42"/>
    </row>
    <row r="193" customFormat="false" ht="21.75" hidden="false" customHeight="true" outlineLevel="0" collapsed="false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8" t="str">
        <f aca="false">IF(A193="","",SUM(Y193:AE193))</f>
        <v/>
      </c>
      <c r="AG193" s="38" t="str">
        <f aca="false">IF(AF193="","",ROUND(AF193*1.2/100,0)*100)</f>
        <v/>
      </c>
      <c r="AH193" s="38"/>
      <c r="AI193" s="38" t="str">
        <f aca="false">IF(AF193="","",ROUND(AF193*1.05/100,0)*100)</f>
        <v/>
      </c>
      <c r="AJ193" s="38" t="str">
        <f aca="false">IF(OR(AH193="",AF193=""),"",AH193-AF193)</f>
        <v/>
      </c>
      <c r="AK193" s="39" t="str">
        <f aca="false">IF(OR(AF193="",AF193=0),"",AJ193/AF193)</f>
        <v/>
      </c>
      <c r="AL193" s="38" t="str">
        <f aca="false">IF(AJ193="","",AJ193-AM193)</f>
        <v/>
      </c>
      <c r="AM193" s="40" t="str">
        <f aca="false">IF(OR(AH193="",AF193=""),"",ROUND((AH193-AF193)/1.2*0.2,2))</f>
        <v/>
      </c>
      <c r="AN193" s="39" t="str">
        <f aca="false">IF(OR(AF193="",AF193=0),"",AL193/AF193)</f>
        <v/>
      </c>
      <c r="AO193" s="37"/>
      <c r="AP193" s="37"/>
      <c r="AQ193" s="37"/>
      <c r="AR193" s="41" t="str">
        <f aca="true">IF(OR(A193="",P193=""),"",IF(AO193&lt;&gt;"",AO193-P193,TODAY()-P193))</f>
        <v/>
      </c>
      <c r="AS193" s="37"/>
    </row>
    <row r="194" customFormat="false" ht="21.75" hidden="false" customHeight="true" outlineLevel="0" collapsed="false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3" t="str">
        <f aca="false">IF(A194="","",SUM(Y194:AE194))</f>
        <v/>
      </c>
      <c r="AG194" s="43" t="str">
        <f aca="false">IF(AF194="","",ROUND(AF194*1.2/100,0)*100)</f>
        <v/>
      </c>
      <c r="AH194" s="43"/>
      <c r="AI194" s="43" t="str">
        <f aca="false">IF(AF194="","",ROUND(AF194*1.05/100,0)*100)</f>
        <v/>
      </c>
      <c r="AJ194" s="43" t="str">
        <f aca="false">IF(OR(AH194="",AF194=""),"",AH194-AF194)</f>
        <v/>
      </c>
      <c r="AK194" s="44" t="str">
        <f aca="false">IF(OR(AF194="",AF194=0),"",AJ194/AF194)</f>
        <v/>
      </c>
      <c r="AL194" s="43" t="str">
        <f aca="false">IF(AJ194="","",AJ194-AM194)</f>
        <v/>
      </c>
      <c r="AM194" s="45" t="str">
        <f aca="false">IF(OR(AH194="",AF194=""),"",ROUND((AH194-AF194)/1.2*0.2,2))</f>
        <v/>
      </c>
      <c r="AN194" s="44" t="str">
        <f aca="false">IF(OR(AF194="",AF194=0),"",AL194/AF194)</f>
        <v/>
      </c>
      <c r="AO194" s="42"/>
      <c r="AP194" s="42"/>
      <c r="AQ194" s="42"/>
      <c r="AR194" s="46" t="str">
        <f aca="true">IF(OR(A194="",P194=""),"",IF(AO194&lt;&gt;"",AO194-P194,TODAY()-P194))</f>
        <v/>
      </c>
      <c r="AS194" s="42"/>
    </row>
    <row r="195" customFormat="false" ht="21.75" hidden="false" customHeight="true" outlineLevel="0" collapsed="false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8" t="str">
        <f aca="false">IF(A195="","",SUM(Y195:AE195))</f>
        <v/>
      </c>
      <c r="AG195" s="38" t="str">
        <f aca="false">IF(AF195="","",ROUND(AF195*1.2/100,0)*100)</f>
        <v/>
      </c>
      <c r="AH195" s="38"/>
      <c r="AI195" s="38" t="str">
        <f aca="false">IF(AF195="","",ROUND(AF195*1.05/100,0)*100)</f>
        <v/>
      </c>
      <c r="AJ195" s="38" t="str">
        <f aca="false">IF(OR(AH195="",AF195=""),"",AH195-AF195)</f>
        <v/>
      </c>
      <c r="AK195" s="39" t="str">
        <f aca="false">IF(OR(AF195="",AF195=0),"",AJ195/AF195)</f>
        <v/>
      </c>
      <c r="AL195" s="38" t="str">
        <f aca="false">IF(AJ195="","",AJ195-AM195)</f>
        <v/>
      </c>
      <c r="AM195" s="40" t="str">
        <f aca="false">IF(OR(AH195="",AF195=""),"",ROUND((AH195-AF195)/1.2*0.2,2))</f>
        <v/>
      </c>
      <c r="AN195" s="39" t="str">
        <f aca="false">IF(OR(AF195="",AF195=0),"",AL195/AF195)</f>
        <v/>
      </c>
      <c r="AO195" s="37"/>
      <c r="AP195" s="37"/>
      <c r="AQ195" s="37"/>
      <c r="AR195" s="41" t="str">
        <f aca="true">IF(OR(A195="",P195=""),"",IF(AO195&lt;&gt;"",AO195-P195,TODAY()-P195))</f>
        <v/>
      </c>
      <c r="AS195" s="37"/>
    </row>
    <row r="196" customFormat="false" ht="21.75" hidden="false" customHeight="true" outlineLevel="0" collapsed="false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3" t="str">
        <f aca="false">IF(A196="","",SUM(Y196:AE196))</f>
        <v/>
      </c>
      <c r="AG196" s="43" t="str">
        <f aca="false">IF(AF196="","",ROUND(AF196*1.2/100,0)*100)</f>
        <v/>
      </c>
      <c r="AH196" s="43"/>
      <c r="AI196" s="43" t="str">
        <f aca="false">IF(AF196="","",ROUND(AF196*1.05/100,0)*100)</f>
        <v/>
      </c>
      <c r="AJ196" s="43" t="str">
        <f aca="false">IF(OR(AH196="",AF196=""),"",AH196-AF196)</f>
        <v/>
      </c>
      <c r="AK196" s="44" t="str">
        <f aca="false">IF(OR(AF196="",AF196=0),"",AJ196/AF196)</f>
        <v/>
      </c>
      <c r="AL196" s="43" t="str">
        <f aca="false">IF(AJ196="","",AJ196-AM196)</f>
        <v/>
      </c>
      <c r="AM196" s="45" t="str">
        <f aca="false">IF(OR(AH196="",AF196=""),"",ROUND((AH196-AF196)/1.2*0.2,2))</f>
        <v/>
      </c>
      <c r="AN196" s="44" t="str">
        <f aca="false">IF(OR(AF196="",AF196=0),"",AL196/AF196)</f>
        <v/>
      </c>
      <c r="AO196" s="42"/>
      <c r="AP196" s="42"/>
      <c r="AQ196" s="42"/>
      <c r="AR196" s="46" t="str">
        <f aca="true">IF(OR(A196="",P196=""),"",IF(AO196&lt;&gt;"",AO196-P196,TODAY()-P196))</f>
        <v/>
      </c>
      <c r="AS196" s="42"/>
    </row>
    <row r="197" customFormat="false" ht="21.75" hidden="false" customHeight="true" outlineLevel="0" collapsed="false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8" t="str">
        <f aca="false">IF(A197="","",SUM(Y197:AE197))</f>
        <v/>
      </c>
      <c r="AG197" s="38" t="str">
        <f aca="false">IF(AF197="","",ROUND(AF197*1.2/100,0)*100)</f>
        <v/>
      </c>
      <c r="AH197" s="38"/>
      <c r="AI197" s="38" t="str">
        <f aca="false">IF(AF197="","",ROUND(AF197*1.05/100,0)*100)</f>
        <v/>
      </c>
      <c r="AJ197" s="38" t="str">
        <f aca="false">IF(OR(AH197="",AF197=""),"",AH197-AF197)</f>
        <v/>
      </c>
      <c r="AK197" s="39" t="str">
        <f aca="false">IF(OR(AF197="",AF197=0),"",AJ197/AF197)</f>
        <v/>
      </c>
      <c r="AL197" s="38" t="str">
        <f aca="false">IF(AJ197="","",AJ197-AM197)</f>
        <v/>
      </c>
      <c r="AM197" s="40" t="str">
        <f aca="false">IF(OR(AH197="",AF197=""),"",ROUND((AH197-AF197)/1.2*0.2,2))</f>
        <v/>
      </c>
      <c r="AN197" s="39" t="str">
        <f aca="false">IF(OR(AF197="",AF197=0),"",AL197/AF197)</f>
        <v/>
      </c>
      <c r="AO197" s="37"/>
      <c r="AP197" s="37"/>
      <c r="AQ197" s="37"/>
      <c r="AR197" s="41" t="str">
        <f aca="true">IF(OR(A197="",P197=""),"",IF(AO197&lt;&gt;"",AO197-P197,TODAY()-P197))</f>
        <v/>
      </c>
      <c r="AS197" s="37"/>
    </row>
    <row r="198" customFormat="false" ht="21.75" hidden="false" customHeight="true" outlineLevel="0" collapsed="false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3" t="str">
        <f aca="false">IF(A198="","",SUM(Y198:AE198))</f>
        <v/>
      </c>
      <c r="AG198" s="43" t="str">
        <f aca="false">IF(AF198="","",ROUND(AF198*1.2/100,0)*100)</f>
        <v/>
      </c>
      <c r="AH198" s="43"/>
      <c r="AI198" s="43" t="str">
        <f aca="false">IF(AF198="","",ROUND(AF198*1.05/100,0)*100)</f>
        <v/>
      </c>
      <c r="AJ198" s="43" t="str">
        <f aca="false">IF(OR(AH198="",AF198=""),"",AH198-AF198)</f>
        <v/>
      </c>
      <c r="AK198" s="44" t="str">
        <f aca="false">IF(OR(AF198="",AF198=0),"",AJ198/AF198)</f>
        <v/>
      </c>
      <c r="AL198" s="43" t="str">
        <f aca="false">IF(AJ198="","",AJ198-AM198)</f>
        <v/>
      </c>
      <c r="AM198" s="45" t="str">
        <f aca="false">IF(OR(AH198="",AF198=""),"",ROUND((AH198-AF198)/1.2*0.2,2))</f>
        <v/>
      </c>
      <c r="AN198" s="44" t="str">
        <f aca="false">IF(OR(AF198="",AF198=0),"",AL198/AF198)</f>
        <v/>
      </c>
      <c r="AO198" s="42"/>
      <c r="AP198" s="42"/>
      <c r="AQ198" s="42"/>
      <c r="AR198" s="46" t="str">
        <f aca="true">IF(OR(A198="",P198=""),"",IF(AO198&lt;&gt;"",AO198-P198,TODAY()-P198))</f>
        <v/>
      </c>
      <c r="AS198" s="42"/>
    </row>
    <row r="199" customFormat="false" ht="21.75" hidden="false" customHeight="true" outlineLevel="0" collapsed="false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8" t="str">
        <f aca="false">IF(A199="","",SUM(Y199:AE199))</f>
        <v/>
      </c>
      <c r="AG199" s="38" t="str">
        <f aca="false">IF(AF199="","",ROUND(AF199*1.2/100,0)*100)</f>
        <v/>
      </c>
      <c r="AH199" s="38"/>
      <c r="AI199" s="38" t="str">
        <f aca="false">IF(AF199="","",ROUND(AF199*1.05/100,0)*100)</f>
        <v/>
      </c>
      <c r="AJ199" s="38" t="str">
        <f aca="false">IF(OR(AH199="",AF199=""),"",AH199-AF199)</f>
        <v/>
      </c>
      <c r="AK199" s="39" t="str">
        <f aca="false">IF(OR(AF199="",AF199=0),"",AJ199/AF199)</f>
        <v/>
      </c>
      <c r="AL199" s="38" t="str">
        <f aca="false">IF(AJ199="","",AJ199-AM199)</f>
        <v/>
      </c>
      <c r="AM199" s="40" t="str">
        <f aca="false">IF(OR(AH199="",AF199=""),"",ROUND((AH199-AF199)/1.2*0.2,2))</f>
        <v/>
      </c>
      <c r="AN199" s="39" t="str">
        <f aca="false">IF(OR(AF199="",AF199=0),"",AL199/AF199)</f>
        <v/>
      </c>
      <c r="AO199" s="37"/>
      <c r="AP199" s="37"/>
      <c r="AQ199" s="37"/>
      <c r="AR199" s="41" t="str">
        <f aca="true">IF(OR(A199="",P199=""),"",IF(AO199&lt;&gt;"",AO199-P199,TODAY()-P199))</f>
        <v/>
      </c>
      <c r="AS199" s="37"/>
    </row>
    <row r="200" customFormat="false" ht="21.75" hidden="false" customHeight="true" outlineLevel="0" collapsed="false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3" t="str">
        <f aca="false">IF(A200="","",SUM(Y200:AE200))</f>
        <v/>
      </c>
      <c r="AG200" s="43" t="str">
        <f aca="false">IF(AF200="","",ROUND(AF200*1.2/100,0)*100)</f>
        <v/>
      </c>
      <c r="AH200" s="43"/>
      <c r="AI200" s="43" t="str">
        <f aca="false">IF(AF200="","",ROUND(AF200*1.05/100,0)*100)</f>
        <v/>
      </c>
      <c r="AJ200" s="43" t="str">
        <f aca="false">IF(OR(AH200="",AF200=""),"",AH200-AF200)</f>
        <v/>
      </c>
      <c r="AK200" s="44" t="str">
        <f aca="false">IF(OR(AF200="",AF200=0),"",AJ200/AF200)</f>
        <v/>
      </c>
      <c r="AL200" s="43" t="str">
        <f aca="false">IF(AJ200="","",AJ200-AM200)</f>
        <v/>
      </c>
      <c r="AM200" s="45" t="str">
        <f aca="false">IF(OR(AH200="",AF200=""),"",ROUND((AH200-AF200)/1.2*0.2,2))</f>
        <v/>
      </c>
      <c r="AN200" s="44" t="str">
        <f aca="false">IF(OR(AF200="",AF200=0),"",AL200/AF200)</f>
        <v/>
      </c>
      <c r="AO200" s="42"/>
      <c r="AP200" s="42"/>
      <c r="AQ200" s="42"/>
      <c r="AR200" s="46" t="str">
        <f aca="true">IF(OR(A200="",P200=""),"",IF(AO200&lt;&gt;"",AO200-P200,TODAY()-P200))</f>
        <v/>
      </c>
      <c r="AS200" s="42"/>
    </row>
    <row r="201" customFormat="false" ht="21.75" hidden="false" customHeight="true" outlineLevel="0" collapsed="false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8" t="str">
        <f aca="false">IF(A201="","",SUM(Y201:AE201))</f>
        <v/>
      </c>
      <c r="AG201" s="38" t="str">
        <f aca="false">IF(AF201="","",ROUND(AF201*1.2/100,0)*100)</f>
        <v/>
      </c>
      <c r="AH201" s="38"/>
      <c r="AI201" s="38" t="str">
        <f aca="false">IF(AF201="","",ROUND(AF201*1.05/100,0)*100)</f>
        <v/>
      </c>
      <c r="AJ201" s="38" t="str">
        <f aca="false">IF(OR(AH201="",AF201=""),"",AH201-AF201)</f>
        <v/>
      </c>
      <c r="AK201" s="39" t="str">
        <f aca="false">IF(OR(AF201="",AF201=0),"",AJ201/AF201)</f>
        <v/>
      </c>
      <c r="AL201" s="38" t="str">
        <f aca="false">IF(AJ201="","",AJ201-AM201)</f>
        <v/>
      </c>
      <c r="AM201" s="40" t="str">
        <f aca="false">IF(OR(AH201="",AF201=""),"",ROUND((AH201-AF201)/1.2*0.2,2))</f>
        <v/>
      </c>
      <c r="AN201" s="39" t="str">
        <f aca="false">IF(OR(AF201="",AF201=0),"",AL201/AF201)</f>
        <v/>
      </c>
      <c r="AO201" s="37"/>
      <c r="AP201" s="37"/>
      <c r="AQ201" s="37"/>
      <c r="AR201" s="41" t="str">
        <f aca="true">IF(OR(A201="",P201=""),"",IF(AO201&lt;&gt;"",AO201-P201,TODAY()-P201))</f>
        <v/>
      </c>
      <c r="AS201" s="37"/>
    </row>
    <row r="202" customFormat="false" ht="21.75" hidden="false" customHeight="true" outlineLevel="0" collapsed="false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3" t="str">
        <f aca="false">IF(A202="","",SUM(Y202:AE202))</f>
        <v/>
      </c>
      <c r="AG202" s="43" t="str">
        <f aca="false">IF(AF202="","",ROUND(AF202*1.2/100,0)*100)</f>
        <v/>
      </c>
      <c r="AH202" s="43"/>
      <c r="AI202" s="43" t="str">
        <f aca="false">IF(AF202="","",ROUND(AF202*1.05/100,0)*100)</f>
        <v/>
      </c>
      <c r="AJ202" s="43" t="str">
        <f aca="false">IF(OR(AH202="",AF202=""),"",AH202-AF202)</f>
        <v/>
      </c>
      <c r="AK202" s="44" t="str">
        <f aca="false">IF(OR(AF202="",AF202=0),"",AJ202/AF202)</f>
        <v/>
      </c>
      <c r="AL202" s="43" t="str">
        <f aca="false">IF(AJ202="","",AJ202-AM202)</f>
        <v/>
      </c>
      <c r="AM202" s="45" t="str">
        <f aca="false">IF(OR(AH202="",AF202=""),"",ROUND((AH202-AF202)/1.2*0.2,2))</f>
        <v/>
      </c>
      <c r="AN202" s="44" t="str">
        <f aca="false">IF(OR(AF202="",AF202=0),"",AL202/AF202)</f>
        <v/>
      </c>
      <c r="AO202" s="42"/>
      <c r="AP202" s="42"/>
      <c r="AQ202" s="42"/>
      <c r="AR202" s="46" t="str">
        <f aca="true">IF(OR(A202="",P202=""),"",IF(AO202&lt;&gt;"",AO202-P202,TODAY()-P202))</f>
        <v/>
      </c>
      <c r="AS202" s="42"/>
    </row>
    <row r="203" customFormat="false" ht="21.75" hidden="false" customHeight="true" outlineLevel="0" collapsed="false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8" t="str">
        <f aca="false">IF(A203="","",SUM(Y203:AE203))</f>
        <v/>
      </c>
      <c r="AG203" s="38" t="str">
        <f aca="false">IF(AF203="","",ROUND(AF203*1.2/100,0)*100)</f>
        <v/>
      </c>
      <c r="AH203" s="38"/>
      <c r="AI203" s="38" t="str">
        <f aca="false">IF(AF203="","",ROUND(AF203*1.05/100,0)*100)</f>
        <v/>
      </c>
      <c r="AJ203" s="38" t="str">
        <f aca="false">IF(OR(AH203="",AF203=""),"",AH203-AF203)</f>
        <v/>
      </c>
      <c r="AK203" s="39" t="str">
        <f aca="false">IF(OR(AF203="",AF203=0),"",AJ203/AF203)</f>
        <v/>
      </c>
      <c r="AL203" s="38" t="str">
        <f aca="false">IF(AJ203="","",AJ203-AM203)</f>
        <v/>
      </c>
      <c r="AM203" s="40" t="str">
        <f aca="false">IF(OR(AH203="",AF203=""),"",ROUND((AH203-AF203)/1.2*0.2,2))</f>
        <v/>
      </c>
      <c r="AN203" s="39" t="str">
        <f aca="false">IF(OR(AF203="",AF203=0),"",AL203/AF203)</f>
        <v/>
      </c>
      <c r="AO203" s="37"/>
      <c r="AP203" s="37"/>
      <c r="AQ203" s="37"/>
      <c r="AR203" s="41" t="str">
        <f aca="true">IF(OR(A203="",P203=""),"",IF(AO203&lt;&gt;"",AO203-P203,TODAY()-P203))</f>
        <v/>
      </c>
      <c r="AS203" s="37"/>
    </row>
    <row r="204" customFormat="false" ht="21.75" hidden="false" customHeight="true" outlineLevel="0" collapsed="false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3" t="str">
        <f aca="false">IF(A204="","",SUM(Y204:AE204))</f>
        <v/>
      </c>
      <c r="AG204" s="43" t="str">
        <f aca="false">IF(AF204="","",ROUND(AF204*1.2/100,0)*100)</f>
        <v/>
      </c>
      <c r="AH204" s="43"/>
      <c r="AI204" s="43" t="str">
        <f aca="false">IF(AF204="","",ROUND(AF204*1.05/100,0)*100)</f>
        <v/>
      </c>
      <c r="AJ204" s="43" t="str">
        <f aca="false">IF(OR(AH204="",AF204=""),"",AH204-AF204)</f>
        <v/>
      </c>
      <c r="AK204" s="44" t="str">
        <f aca="false">IF(OR(AF204="",AF204=0),"",AJ204/AF204)</f>
        <v/>
      </c>
      <c r="AL204" s="43" t="str">
        <f aca="false">IF(AJ204="","",AJ204-AM204)</f>
        <v/>
      </c>
      <c r="AM204" s="45" t="str">
        <f aca="false">IF(OR(AH204="",AF204=""),"",ROUND((AH204-AF204)/1.2*0.2,2))</f>
        <v/>
      </c>
      <c r="AN204" s="44" t="str">
        <f aca="false">IF(OR(AF204="",AF204=0),"",AL204/AF204)</f>
        <v/>
      </c>
      <c r="AO204" s="42"/>
      <c r="AP204" s="42"/>
      <c r="AQ204" s="42"/>
      <c r="AR204" s="46" t="str">
        <f aca="true">IF(OR(A204="",P204=""),"",IF(AO204&lt;&gt;"",AO204-P204,TODAY()-P204))</f>
        <v/>
      </c>
      <c r="AS204" s="42"/>
    </row>
    <row r="205" customFormat="false" ht="21.75" hidden="false" customHeight="true" outlineLevel="0" collapsed="false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8" t="str">
        <f aca="false">IF(A205="","",SUM(Y205:AE205))</f>
        <v/>
      </c>
      <c r="AG205" s="38" t="str">
        <f aca="false">IF(AF205="","",ROUND(AF205*1.2/100,0)*100)</f>
        <v/>
      </c>
      <c r="AH205" s="38"/>
      <c r="AI205" s="38" t="str">
        <f aca="false">IF(AF205="","",ROUND(AF205*1.05/100,0)*100)</f>
        <v/>
      </c>
      <c r="AJ205" s="38" t="str">
        <f aca="false">IF(OR(AH205="",AF205=""),"",AH205-AF205)</f>
        <v/>
      </c>
      <c r="AK205" s="39" t="str">
        <f aca="false">IF(OR(AF205="",AF205=0),"",AJ205/AF205)</f>
        <v/>
      </c>
      <c r="AL205" s="38" t="str">
        <f aca="false">IF(AJ205="","",AJ205-AM205)</f>
        <v/>
      </c>
      <c r="AM205" s="40" t="str">
        <f aca="false">IF(OR(AH205="",AF205=""),"",ROUND((AH205-AF205)/1.2*0.2,2))</f>
        <v/>
      </c>
      <c r="AN205" s="39" t="str">
        <f aca="false">IF(OR(AF205="",AF205=0),"",AL205/AF205)</f>
        <v/>
      </c>
      <c r="AO205" s="37"/>
      <c r="AP205" s="37"/>
      <c r="AQ205" s="37"/>
      <c r="AR205" s="41" t="str">
        <f aca="true">IF(OR(A205="",P205=""),"",IF(AO205&lt;&gt;"",AO205-P205,TODAY()-P205))</f>
        <v/>
      </c>
      <c r="AS205" s="37"/>
    </row>
    <row r="206" customFormat="false" ht="21.75" hidden="false" customHeight="true" outlineLevel="0" collapsed="false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3" t="str">
        <f aca="false">IF(A206="","",SUM(Y206:AE206))</f>
        <v/>
      </c>
      <c r="AG206" s="43" t="str">
        <f aca="false">IF(AF206="","",ROUND(AF206*1.2/100,0)*100)</f>
        <v/>
      </c>
      <c r="AH206" s="43"/>
      <c r="AI206" s="43" t="str">
        <f aca="false">IF(AF206="","",ROUND(AF206*1.05/100,0)*100)</f>
        <v/>
      </c>
      <c r="AJ206" s="43" t="str">
        <f aca="false">IF(OR(AH206="",AF206=""),"",AH206-AF206)</f>
        <v/>
      </c>
      <c r="AK206" s="44" t="str">
        <f aca="false">IF(OR(AF206="",AF206=0),"",AJ206/AF206)</f>
        <v/>
      </c>
      <c r="AL206" s="43" t="str">
        <f aca="false">IF(AJ206="","",AJ206-AM206)</f>
        <v/>
      </c>
      <c r="AM206" s="45" t="str">
        <f aca="false">IF(OR(AH206="",AF206=""),"",ROUND((AH206-AF206)/1.2*0.2,2))</f>
        <v/>
      </c>
      <c r="AN206" s="44" t="str">
        <f aca="false">IF(OR(AF206="",AF206=0),"",AL206/AF206)</f>
        <v/>
      </c>
      <c r="AO206" s="42"/>
      <c r="AP206" s="42"/>
      <c r="AQ206" s="42"/>
      <c r="AR206" s="46" t="str">
        <f aca="true">IF(OR(A206="",P206=""),"",IF(AO206&lt;&gt;"",AO206-P206,TODAY()-P206))</f>
        <v/>
      </c>
      <c r="AS206" s="42"/>
    </row>
    <row r="207" customFormat="false" ht="21.75" hidden="false" customHeight="true" outlineLevel="0" collapsed="false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8" t="str">
        <f aca="false">IF(A207="","",SUM(Y207:AE207))</f>
        <v/>
      </c>
      <c r="AG207" s="38" t="str">
        <f aca="false">IF(AF207="","",ROUND(AF207*1.2/100,0)*100)</f>
        <v/>
      </c>
      <c r="AH207" s="38"/>
      <c r="AI207" s="38" t="str">
        <f aca="false">IF(AF207="","",ROUND(AF207*1.05/100,0)*100)</f>
        <v/>
      </c>
      <c r="AJ207" s="38" t="str">
        <f aca="false">IF(OR(AH207="",AF207=""),"",AH207-AF207)</f>
        <v/>
      </c>
      <c r="AK207" s="39" t="str">
        <f aca="false">IF(OR(AF207="",AF207=0),"",AJ207/AF207)</f>
        <v/>
      </c>
      <c r="AL207" s="38" t="str">
        <f aca="false">IF(AJ207="","",AJ207-AM207)</f>
        <v/>
      </c>
      <c r="AM207" s="40" t="str">
        <f aca="false">IF(OR(AH207="",AF207=""),"",ROUND((AH207-AF207)/1.2*0.2,2))</f>
        <v/>
      </c>
      <c r="AN207" s="39" t="str">
        <f aca="false">IF(OR(AF207="",AF207=0),"",AL207/AF207)</f>
        <v/>
      </c>
      <c r="AO207" s="37"/>
      <c r="AP207" s="37"/>
      <c r="AQ207" s="37"/>
      <c r="AR207" s="41" t="str">
        <f aca="true">IF(OR(A207="",P207=""),"",IF(AO207&lt;&gt;"",AO207-P207,TODAY()-P207))</f>
        <v/>
      </c>
      <c r="AS207" s="37"/>
    </row>
    <row r="208" customFormat="false" ht="21.75" hidden="false" customHeight="true" outlineLevel="0" collapsed="false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3" t="str">
        <f aca="false">IF(A208="","",SUM(Y208:AE208))</f>
        <v/>
      </c>
      <c r="AG208" s="43" t="str">
        <f aca="false">IF(AF208="","",ROUND(AF208*1.2/100,0)*100)</f>
        <v/>
      </c>
      <c r="AH208" s="43"/>
      <c r="AI208" s="43" t="str">
        <f aca="false">IF(AF208="","",ROUND(AF208*1.05/100,0)*100)</f>
        <v/>
      </c>
      <c r="AJ208" s="43" t="str">
        <f aca="false">IF(OR(AH208="",AF208=""),"",AH208-AF208)</f>
        <v/>
      </c>
      <c r="AK208" s="44" t="str">
        <f aca="false">IF(OR(AF208="",AF208=0),"",AJ208/AF208)</f>
        <v/>
      </c>
      <c r="AL208" s="43" t="str">
        <f aca="false">IF(AJ208="","",AJ208-AM208)</f>
        <v/>
      </c>
      <c r="AM208" s="45" t="str">
        <f aca="false">IF(OR(AH208="",AF208=""),"",ROUND((AH208-AF208)/1.2*0.2,2))</f>
        <v/>
      </c>
      <c r="AN208" s="44" t="str">
        <f aca="false">IF(OR(AF208="",AF208=0),"",AL208/AF208)</f>
        <v/>
      </c>
      <c r="AO208" s="42"/>
      <c r="AP208" s="42"/>
      <c r="AQ208" s="42"/>
      <c r="AR208" s="46" t="str">
        <f aca="true">IF(OR(A208="",P208=""),"",IF(AO208&lt;&gt;"",AO208-P208,TODAY()-P208))</f>
        <v/>
      </c>
      <c r="AS208" s="42"/>
    </row>
    <row r="209" customFormat="false" ht="21.75" hidden="false" customHeight="true" outlineLevel="0" collapsed="false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8" t="str">
        <f aca="false">IF(A209="","",SUM(Y209:AE209))</f>
        <v/>
      </c>
      <c r="AG209" s="38" t="str">
        <f aca="false">IF(AF209="","",ROUND(AF209*1.2/100,0)*100)</f>
        <v/>
      </c>
      <c r="AH209" s="38"/>
      <c r="AI209" s="38" t="str">
        <f aca="false">IF(AF209="","",ROUND(AF209*1.05/100,0)*100)</f>
        <v/>
      </c>
      <c r="AJ209" s="38" t="str">
        <f aca="false">IF(OR(AH209="",AF209=""),"",AH209-AF209)</f>
        <v/>
      </c>
      <c r="AK209" s="39" t="str">
        <f aca="false">IF(OR(AF209="",AF209=0),"",AJ209/AF209)</f>
        <v/>
      </c>
      <c r="AL209" s="38" t="str">
        <f aca="false">IF(AJ209="","",AJ209-AM209)</f>
        <v/>
      </c>
      <c r="AM209" s="40" t="str">
        <f aca="false">IF(OR(AH209="",AF209=""),"",ROUND((AH209-AF209)/1.2*0.2,2))</f>
        <v/>
      </c>
      <c r="AN209" s="39" t="str">
        <f aca="false">IF(OR(AF209="",AF209=0),"",AL209/AF209)</f>
        <v/>
      </c>
      <c r="AO209" s="37"/>
      <c r="AP209" s="37"/>
      <c r="AQ209" s="37"/>
      <c r="AR209" s="41" t="str">
        <f aca="true">IF(OR(A209="",P209=""),"",IF(AO209&lt;&gt;"",AO209-P209,TODAY()-P209))</f>
        <v/>
      </c>
      <c r="AS209" s="37"/>
    </row>
    <row r="210" customFormat="false" ht="21.75" hidden="false" customHeight="true" outlineLevel="0" collapsed="false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3" t="str">
        <f aca="false">IF(A210="","",SUM(Y210:AE210))</f>
        <v/>
      </c>
      <c r="AG210" s="43" t="str">
        <f aca="false">IF(AF210="","",ROUND(AF210*1.2/100,0)*100)</f>
        <v/>
      </c>
      <c r="AH210" s="43"/>
      <c r="AI210" s="43" t="str">
        <f aca="false">IF(AF210="","",ROUND(AF210*1.05/100,0)*100)</f>
        <v/>
      </c>
      <c r="AJ210" s="43" t="str">
        <f aca="false">IF(OR(AH210="",AF210=""),"",AH210-AF210)</f>
        <v/>
      </c>
      <c r="AK210" s="44" t="str">
        <f aca="false">IF(OR(AF210="",AF210=0),"",AJ210/AF210)</f>
        <v/>
      </c>
      <c r="AL210" s="43" t="str">
        <f aca="false">IF(AJ210="","",AJ210-AM210)</f>
        <v/>
      </c>
      <c r="AM210" s="45" t="str">
        <f aca="false">IF(OR(AH210="",AF210=""),"",ROUND((AH210-AF210)/1.2*0.2,2))</f>
        <v/>
      </c>
      <c r="AN210" s="44" t="str">
        <f aca="false">IF(OR(AF210="",AF210=0),"",AL210/AF210)</f>
        <v/>
      </c>
      <c r="AO210" s="42"/>
      <c r="AP210" s="42"/>
      <c r="AQ210" s="42"/>
      <c r="AR210" s="46" t="str">
        <f aca="true">IF(OR(A210="",P210=""),"",IF(AO210&lt;&gt;"",AO210-P210,TODAY()-P210))</f>
        <v/>
      </c>
      <c r="AS210" s="42"/>
    </row>
    <row r="211" customFormat="false" ht="21.75" hidden="false" customHeight="true" outlineLevel="0" collapsed="false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8" t="str">
        <f aca="false">IF(A211="","",SUM(Y211:AE211))</f>
        <v/>
      </c>
      <c r="AG211" s="38" t="str">
        <f aca="false">IF(AF211="","",ROUND(AF211*1.2/100,0)*100)</f>
        <v/>
      </c>
      <c r="AH211" s="38"/>
      <c r="AI211" s="38" t="str">
        <f aca="false">IF(AF211="","",ROUND(AF211*1.05/100,0)*100)</f>
        <v/>
      </c>
      <c r="AJ211" s="38" t="str">
        <f aca="false">IF(OR(AH211="",AF211=""),"",AH211-AF211)</f>
        <v/>
      </c>
      <c r="AK211" s="39" t="str">
        <f aca="false">IF(OR(AF211="",AF211=0),"",AJ211/AF211)</f>
        <v/>
      </c>
      <c r="AL211" s="38" t="str">
        <f aca="false">IF(AJ211="","",AJ211-AM211)</f>
        <v/>
      </c>
      <c r="AM211" s="40" t="str">
        <f aca="false">IF(OR(AH211="",AF211=""),"",ROUND((AH211-AF211)/1.2*0.2,2))</f>
        <v/>
      </c>
      <c r="AN211" s="39" t="str">
        <f aca="false">IF(OR(AF211="",AF211=0),"",AL211/AF211)</f>
        <v/>
      </c>
      <c r="AO211" s="37"/>
      <c r="AP211" s="37"/>
      <c r="AQ211" s="37"/>
      <c r="AR211" s="41" t="str">
        <f aca="true">IF(OR(A211="",P211=""),"",IF(AO211&lt;&gt;"",AO211-P211,TODAY()-P211))</f>
        <v/>
      </c>
      <c r="AS211" s="37"/>
    </row>
    <row r="212" customFormat="false" ht="21.75" hidden="false" customHeight="true" outlineLevel="0" collapsed="false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3" t="str">
        <f aca="false">IF(A212="","",SUM(Y212:AE212))</f>
        <v/>
      </c>
      <c r="AG212" s="43" t="str">
        <f aca="false">IF(AF212="","",ROUND(AF212*1.2/100,0)*100)</f>
        <v/>
      </c>
      <c r="AH212" s="43"/>
      <c r="AI212" s="43" t="str">
        <f aca="false">IF(AF212="","",ROUND(AF212*1.05/100,0)*100)</f>
        <v/>
      </c>
      <c r="AJ212" s="43" t="str">
        <f aca="false">IF(OR(AH212="",AF212=""),"",AH212-AF212)</f>
        <v/>
      </c>
      <c r="AK212" s="44" t="str">
        <f aca="false">IF(OR(AF212="",AF212=0),"",AJ212/AF212)</f>
        <v/>
      </c>
      <c r="AL212" s="43" t="str">
        <f aca="false">IF(AJ212="","",AJ212-AM212)</f>
        <v/>
      </c>
      <c r="AM212" s="45" t="str">
        <f aca="false">IF(OR(AH212="",AF212=""),"",ROUND((AH212-AF212)/1.2*0.2,2))</f>
        <v/>
      </c>
      <c r="AN212" s="44" t="str">
        <f aca="false">IF(OR(AF212="",AF212=0),"",AL212/AF212)</f>
        <v/>
      </c>
      <c r="AO212" s="42"/>
      <c r="AP212" s="42"/>
      <c r="AQ212" s="42"/>
      <c r="AR212" s="46" t="str">
        <f aca="true">IF(OR(A212="",P212=""),"",IF(AO212&lt;&gt;"",AO212-P212,TODAY()-P212))</f>
        <v/>
      </c>
      <c r="AS212" s="42"/>
    </row>
    <row r="213" customFormat="false" ht="21.75" hidden="false" customHeight="true" outlineLevel="0" collapsed="false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8" t="str">
        <f aca="false">IF(A213="","",SUM(Y213:AE213))</f>
        <v/>
      </c>
      <c r="AG213" s="38" t="str">
        <f aca="false">IF(AF213="","",ROUND(AF213*1.2/100,0)*100)</f>
        <v/>
      </c>
      <c r="AH213" s="38"/>
      <c r="AI213" s="38" t="str">
        <f aca="false">IF(AF213="","",ROUND(AF213*1.05/100,0)*100)</f>
        <v/>
      </c>
      <c r="AJ213" s="38" t="str">
        <f aca="false">IF(OR(AH213="",AF213=""),"",AH213-AF213)</f>
        <v/>
      </c>
      <c r="AK213" s="39" t="str">
        <f aca="false">IF(OR(AF213="",AF213=0),"",AJ213/AF213)</f>
        <v/>
      </c>
      <c r="AL213" s="38" t="str">
        <f aca="false">IF(AJ213="","",AJ213-AM213)</f>
        <v/>
      </c>
      <c r="AM213" s="40" t="str">
        <f aca="false">IF(OR(AH213="",AF213=""),"",ROUND((AH213-AF213)/1.2*0.2,2))</f>
        <v/>
      </c>
      <c r="AN213" s="39" t="str">
        <f aca="false">IF(OR(AF213="",AF213=0),"",AL213/AF213)</f>
        <v/>
      </c>
      <c r="AO213" s="37"/>
      <c r="AP213" s="37"/>
      <c r="AQ213" s="37"/>
      <c r="AR213" s="41" t="str">
        <f aca="true">IF(OR(A213="",P213=""),"",IF(AO213&lt;&gt;"",AO213-P213,TODAY()-P213))</f>
        <v/>
      </c>
      <c r="AS213" s="37"/>
    </row>
    <row r="214" customFormat="false" ht="21.75" hidden="false" customHeight="true" outlineLevel="0" collapsed="false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3" t="str">
        <f aca="false">IF(A214="","",SUM(Y214:AE214))</f>
        <v/>
      </c>
      <c r="AG214" s="43" t="str">
        <f aca="false">IF(AF214="","",ROUND(AF214*1.2/100,0)*100)</f>
        <v/>
      </c>
      <c r="AH214" s="43"/>
      <c r="AI214" s="43" t="str">
        <f aca="false">IF(AF214="","",ROUND(AF214*1.05/100,0)*100)</f>
        <v/>
      </c>
      <c r="AJ214" s="43" t="str">
        <f aca="false">IF(OR(AH214="",AF214=""),"",AH214-AF214)</f>
        <v/>
      </c>
      <c r="AK214" s="44" t="str">
        <f aca="false">IF(OR(AF214="",AF214=0),"",AJ214/AF214)</f>
        <v/>
      </c>
      <c r="AL214" s="43" t="str">
        <f aca="false">IF(AJ214="","",AJ214-AM214)</f>
        <v/>
      </c>
      <c r="AM214" s="45" t="str">
        <f aca="false">IF(OR(AH214="",AF214=""),"",ROUND((AH214-AF214)/1.2*0.2,2))</f>
        <v/>
      </c>
      <c r="AN214" s="44" t="str">
        <f aca="false">IF(OR(AF214="",AF214=0),"",AL214/AF214)</f>
        <v/>
      </c>
      <c r="AO214" s="42"/>
      <c r="AP214" s="42"/>
      <c r="AQ214" s="42"/>
      <c r="AR214" s="46" t="str">
        <f aca="true">IF(OR(A214="",P214=""),"",IF(AO214&lt;&gt;"",AO214-P214,TODAY()-P214))</f>
        <v/>
      </c>
      <c r="AS214" s="42"/>
    </row>
    <row r="215" customFormat="false" ht="21.75" hidden="false" customHeight="true" outlineLevel="0" collapsed="false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8" t="str">
        <f aca="false">IF(A215="","",SUM(Y215:AE215))</f>
        <v/>
      </c>
      <c r="AG215" s="38" t="str">
        <f aca="false">IF(AF215="","",ROUND(AF215*1.2/100,0)*100)</f>
        <v/>
      </c>
      <c r="AH215" s="38"/>
      <c r="AI215" s="38" t="str">
        <f aca="false">IF(AF215="","",ROUND(AF215*1.05/100,0)*100)</f>
        <v/>
      </c>
      <c r="AJ215" s="38" t="str">
        <f aca="false">IF(OR(AH215="",AF215=""),"",AH215-AF215)</f>
        <v/>
      </c>
      <c r="AK215" s="39" t="str">
        <f aca="false">IF(OR(AF215="",AF215=0),"",AJ215/AF215)</f>
        <v/>
      </c>
      <c r="AL215" s="38" t="str">
        <f aca="false">IF(AJ215="","",AJ215-AM215)</f>
        <v/>
      </c>
      <c r="AM215" s="40" t="str">
        <f aca="false">IF(OR(AH215="",AF215=""),"",ROUND((AH215-AF215)/1.2*0.2,2))</f>
        <v/>
      </c>
      <c r="AN215" s="39" t="str">
        <f aca="false">IF(OR(AF215="",AF215=0),"",AL215/AF215)</f>
        <v/>
      </c>
      <c r="AO215" s="37"/>
      <c r="AP215" s="37"/>
      <c r="AQ215" s="37"/>
      <c r="AR215" s="41" t="str">
        <f aca="true">IF(OR(A215="",P215=""),"",IF(AO215&lt;&gt;"",AO215-P215,TODAY()-P215))</f>
        <v/>
      </c>
      <c r="AS215" s="37"/>
    </row>
    <row r="216" customFormat="false" ht="21.75" hidden="false" customHeight="true" outlineLevel="0" collapsed="false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3" t="str">
        <f aca="false">IF(A216="","",SUM(Y216:AE216))</f>
        <v/>
      </c>
      <c r="AG216" s="43" t="str">
        <f aca="false">IF(AF216="","",ROUND(AF216*1.2/100,0)*100)</f>
        <v/>
      </c>
      <c r="AH216" s="43"/>
      <c r="AI216" s="43" t="str">
        <f aca="false">IF(AF216="","",ROUND(AF216*1.05/100,0)*100)</f>
        <v/>
      </c>
      <c r="AJ216" s="43" t="str">
        <f aca="false">IF(OR(AH216="",AF216=""),"",AH216-AF216)</f>
        <v/>
      </c>
      <c r="AK216" s="44" t="str">
        <f aca="false">IF(OR(AF216="",AF216=0),"",AJ216/AF216)</f>
        <v/>
      </c>
      <c r="AL216" s="43" t="str">
        <f aca="false">IF(AJ216="","",AJ216-AM216)</f>
        <v/>
      </c>
      <c r="AM216" s="45" t="str">
        <f aca="false">IF(OR(AH216="",AF216=""),"",ROUND((AH216-AF216)/1.2*0.2,2))</f>
        <v/>
      </c>
      <c r="AN216" s="44" t="str">
        <f aca="false">IF(OR(AF216="",AF216=0),"",AL216/AF216)</f>
        <v/>
      </c>
      <c r="AO216" s="42"/>
      <c r="AP216" s="42"/>
      <c r="AQ216" s="42"/>
      <c r="AR216" s="46" t="str">
        <f aca="true">IF(OR(A216="",P216=""),"",IF(AO216&lt;&gt;"",AO216-P216,TODAY()-P216))</f>
        <v/>
      </c>
      <c r="AS216" s="42"/>
    </row>
    <row r="217" customFormat="false" ht="21.75" hidden="false" customHeight="true" outlineLevel="0" collapsed="false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8" t="str">
        <f aca="false">IF(A217="","",SUM(Y217:AE217))</f>
        <v/>
      </c>
      <c r="AG217" s="38" t="str">
        <f aca="false">IF(AF217="","",ROUND(AF217*1.2/100,0)*100)</f>
        <v/>
      </c>
      <c r="AH217" s="38"/>
      <c r="AI217" s="38" t="str">
        <f aca="false">IF(AF217="","",ROUND(AF217*1.05/100,0)*100)</f>
        <v/>
      </c>
      <c r="AJ217" s="38" t="str">
        <f aca="false">IF(OR(AH217="",AF217=""),"",AH217-AF217)</f>
        <v/>
      </c>
      <c r="AK217" s="39" t="str">
        <f aca="false">IF(OR(AF217="",AF217=0),"",AJ217/AF217)</f>
        <v/>
      </c>
      <c r="AL217" s="38" t="str">
        <f aca="false">IF(AJ217="","",AJ217-AM217)</f>
        <v/>
      </c>
      <c r="AM217" s="40" t="str">
        <f aca="false">IF(OR(AH217="",AF217=""),"",ROUND((AH217-AF217)/1.2*0.2,2))</f>
        <v/>
      </c>
      <c r="AN217" s="39" t="str">
        <f aca="false">IF(OR(AF217="",AF217=0),"",AL217/AF217)</f>
        <v/>
      </c>
      <c r="AO217" s="37"/>
      <c r="AP217" s="37"/>
      <c r="AQ217" s="37"/>
      <c r="AR217" s="41" t="str">
        <f aca="true">IF(OR(A217="",P217=""),"",IF(AO217&lt;&gt;"",AO217-P217,TODAY()-P217))</f>
        <v/>
      </c>
      <c r="AS217" s="37"/>
    </row>
    <row r="218" customFormat="false" ht="21.75" hidden="false" customHeight="true" outlineLevel="0" collapsed="false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3" t="str">
        <f aca="false">IF(A218="","",SUM(Y218:AE218))</f>
        <v/>
      </c>
      <c r="AG218" s="43" t="str">
        <f aca="false">IF(AF218="","",ROUND(AF218*1.2/100,0)*100)</f>
        <v/>
      </c>
      <c r="AH218" s="43"/>
      <c r="AI218" s="43" t="str">
        <f aca="false">IF(AF218="","",ROUND(AF218*1.05/100,0)*100)</f>
        <v/>
      </c>
      <c r="AJ218" s="43" t="str">
        <f aca="false">IF(OR(AH218="",AF218=""),"",AH218-AF218)</f>
        <v/>
      </c>
      <c r="AK218" s="44" t="str">
        <f aca="false">IF(OR(AF218="",AF218=0),"",AJ218/AF218)</f>
        <v/>
      </c>
      <c r="AL218" s="43" t="str">
        <f aca="false">IF(AJ218="","",AJ218-AM218)</f>
        <v/>
      </c>
      <c r="AM218" s="45" t="str">
        <f aca="false">IF(OR(AH218="",AF218=""),"",ROUND((AH218-AF218)/1.2*0.2,2))</f>
        <v/>
      </c>
      <c r="AN218" s="44" t="str">
        <f aca="false">IF(OR(AF218="",AF218=0),"",AL218/AF218)</f>
        <v/>
      </c>
      <c r="AO218" s="42"/>
      <c r="AP218" s="42"/>
      <c r="AQ218" s="42"/>
      <c r="AR218" s="46" t="str">
        <f aca="true">IF(OR(A218="",P218=""),"",IF(AO218&lt;&gt;"",AO218-P218,TODAY()-P218))</f>
        <v/>
      </c>
      <c r="AS218" s="42"/>
    </row>
    <row r="219" customFormat="false" ht="21.75" hidden="false" customHeight="true" outlineLevel="0" collapsed="false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8" t="str">
        <f aca="false">IF(A219="","",SUM(Y219:AE219))</f>
        <v/>
      </c>
      <c r="AG219" s="38" t="str">
        <f aca="false">IF(AF219="","",ROUND(AF219*1.2/100,0)*100)</f>
        <v/>
      </c>
      <c r="AH219" s="38"/>
      <c r="AI219" s="38" t="str">
        <f aca="false">IF(AF219="","",ROUND(AF219*1.05/100,0)*100)</f>
        <v/>
      </c>
      <c r="AJ219" s="38" t="str">
        <f aca="false">IF(OR(AH219="",AF219=""),"",AH219-AF219)</f>
        <v/>
      </c>
      <c r="AK219" s="39" t="str">
        <f aca="false">IF(OR(AF219="",AF219=0),"",AJ219/AF219)</f>
        <v/>
      </c>
      <c r="AL219" s="38" t="str">
        <f aca="false">IF(AJ219="","",AJ219-AM219)</f>
        <v/>
      </c>
      <c r="AM219" s="40" t="str">
        <f aca="false">IF(OR(AH219="",AF219=""),"",ROUND((AH219-AF219)/1.2*0.2,2))</f>
        <v/>
      </c>
      <c r="AN219" s="39" t="str">
        <f aca="false">IF(OR(AF219="",AF219=0),"",AL219/AF219)</f>
        <v/>
      </c>
      <c r="AO219" s="37"/>
      <c r="AP219" s="37"/>
      <c r="AQ219" s="37"/>
      <c r="AR219" s="41" t="str">
        <f aca="true">IF(OR(A219="",P219=""),"",IF(AO219&lt;&gt;"",AO219-P219,TODAY()-P219))</f>
        <v/>
      </c>
      <c r="AS219" s="37"/>
    </row>
    <row r="220" customFormat="false" ht="21.75" hidden="false" customHeight="true" outlineLevel="0" collapsed="false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3" t="str">
        <f aca="false">IF(A220="","",SUM(Y220:AE220))</f>
        <v/>
      </c>
      <c r="AG220" s="43" t="str">
        <f aca="false">IF(AF220="","",ROUND(AF220*1.2/100,0)*100)</f>
        <v/>
      </c>
      <c r="AH220" s="43"/>
      <c r="AI220" s="43" t="str">
        <f aca="false">IF(AF220="","",ROUND(AF220*1.05/100,0)*100)</f>
        <v/>
      </c>
      <c r="AJ220" s="43" t="str">
        <f aca="false">IF(OR(AH220="",AF220=""),"",AH220-AF220)</f>
        <v/>
      </c>
      <c r="AK220" s="44" t="str">
        <f aca="false">IF(OR(AF220="",AF220=0),"",AJ220/AF220)</f>
        <v/>
      </c>
      <c r="AL220" s="43" t="str">
        <f aca="false">IF(AJ220="","",AJ220-AM220)</f>
        <v/>
      </c>
      <c r="AM220" s="45" t="str">
        <f aca="false">IF(OR(AH220="",AF220=""),"",ROUND((AH220-AF220)/1.2*0.2,2))</f>
        <v/>
      </c>
      <c r="AN220" s="44" t="str">
        <f aca="false">IF(OR(AF220="",AF220=0),"",AL220/AF220)</f>
        <v/>
      </c>
      <c r="AO220" s="42"/>
      <c r="AP220" s="42"/>
      <c r="AQ220" s="42"/>
      <c r="AR220" s="46" t="str">
        <f aca="true">IF(OR(A220="",P220=""),"",IF(AO220&lt;&gt;"",AO220-P220,TODAY()-P220))</f>
        <v/>
      </c>
      <c r="AS220" s="42"/>
    </row>
    <row r="221" customFormat="false" ht="21.75" hidden="false" customHeight="true" outlineLevel="0" collapsed="false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8" t="str">
        <f aca="false">IF(A221="","",SUM(Y221:AE221))</f>
        <v/>
      </c>
      <c r="AG221" s="38" t="str">
        <f aca="false">IF(AF221="","",ROUND(AF221*1.2/100,0)*100)</f>
        <v/>
      </c>
      <c r="AH221" s="38"/>
      <c r="AI221" s="38" t="str">
        <f aca="false">IF(AF221="","",ROUND(AF221*1.05/100,0)*100)</f>
        <v/>
      </c>
      <c r="AJ221" s="38" t="str">
        <f aca="false">IF(OR(AH221="",AF221=""),"",AH221-AF221)</f>
        <v/>
      </c>
      <c r="AK221" s="39" t="str">
        <f aca="false">IF(OR(AF221="",AF221=0),"",AJ221/AF221)</f>
        <v/>
      </c>
      <c r="AL221" s="38" t="str">
        <f aca="false">IF(AJ221="","",AJ221-AM221)</f>
        <v/>
      </c>
      <c r="AM221" s="40" t="str">
        <f aca="false">IF(OR(AH221="",AF221=""),"",ROUND((AH221-AF221)/1.2*0.2,2))</f>
        <v/>
      </c>
      <c r="AN221" s="39" t="str">
        <f aca="false">IF(OR(AF221="",AF221=0),"",AL221/AF221)</f>
        <v/>
      </c>
      <c r="AO221" s="37"/>
      <c r="AP221" s="37"/>
      <c r="AQ221" s="37"/>
      <c r="AR221" s="41" t="str">
        <f aca="true">IF(OR(A221="",P221=""),"",IF(AO221&lt;&gt;"",AO221-P221,TODAY()-P221))</f>
        <v/>
      </c>
      <c r="AS221" s="37"/>
    </row>
    <row r="222" customFormat="false" ht="21.75" hidden="false" customHeight="true" outlineLevel="0" collapsed="false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3" t="str">
        <f aca="false">IF(A222="","",SUM(Y222:AE222))</f>
        <v/>
      </c>
      <c r="AG222" s="43" t="str">
        <f aca="false">IF(AF222="","",ROUND(AF222*1.2/100,0)*100)</f>
        <v/>
      </c>
      <c r="AH222" s="43"/>
      <c r="AI222" s="43" t="str">
        <f aca="false">IF(AF222="","",ROUND(AF222*1.05/100,0)*100)</f>
        <v/>
      </c>
      <c r="AJ222" s="43" t="str">
        <f aca="false">IF(OR(AH222="",AF222=""),"",AH222-AF222)</f>
        <v/>
      </c>
      <c r="AK222" s="44" t="str">
        <f aca="false">IF(OR(AF222="",AF222=0),"",AJ222/AF222)</f>
        <v/>
      </c>
      <c r="AL222" s="43" t="str">
        <f aca="false">IF(AJ222="","",AJ222-AM222)</f>
        <v/>
      </c>
      <c r="AM222" s="45" t="str">
        <f aca="false">IF(OR(AH222="",AF222=""),"",ROUND((AH222-AF222)/1.2*0.2,2))</f>
        <v/>
      </c>
      <c r="AN222" s="44" t="str">
        <f aca="false">IF(OR(AF222="",AF222=0),"",AL222/AF222)</f>
        <v/>
      </c>
      <c r="AO222" s="42"/>
      <c r="AP222" s="42"/>
      <c r="AQ222" s="42"/>
      <c r="AR222" s="46" t="str">
        <f aca="true">IF(OR(A222="",P222=""),"",IF(AO222&lt;&gt;"",AO222-P222,TODAY()-P222))</f>
        <v/>
      </c>
      <c r="AS222" s="42"/>
    </row>
    <row r="223" customFormat="false" ht="21.75" hidden="false" customHeight="true" outlineLevel="0" collapsed="false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8" t="str">
        <f aca="false">IF(A223="","",SUM(Y223:AE223))</f>
        <v/>
      </c>
      <c r="AG223" s="38" t="str">
        <f aca="false">IF(AF223="","",ROUND(AF223*1.2/100,0)*100)</f>
        <v/>
      </c>
      <c r="AH223" s="38"/>
      <c r="AI223" s="38" t="str">
        <f aca="false">IF(AF223="","",ROUND(AF223*1.05/100,0)*100)</f>
        <v/>
      </c>
      <c r="AJ223" s="38" t="str">
        <f aca="false">IF(OR(AH223="",AF223=""),"",AH223-AF223)</f>
        <v/>
      </c>
      <c r="AK223" s="39" t="str">
        <f aca="false">IF(OR(AF223="",AF223=0),"",AJ223/AF223)</f>
        <v/>
      </c>
      <c r="AL223" s="38" t="str">
        <f aca="false">IF(AJ223="","",AJ223-AM223)</f>
        <v/>
      </c>
      <c r="AM223" s="40" t="str">
        <f aca="false">IF(OR(AH223="",AF223=""),"",ROUND((AH223-AF223)/1.2*0.2,2))</f>
        <v/>
      </c>
      <c r="AN223" s="39" t="str">
        <f aca="false">IF(OR(AF223="",AF223=0),"",AL223/AF223)</f>
        <v/>
      </c>
      <c r="AO223" s="37"/>
      <c r="AP223" s="37"/>
      <c r="AQ223" s="37"/>
      <c r="AR223" s="41" t="str">
        <f aca="true">IF(OR(A223="",P223=""),"",IF(AO223&lt;&gt;"",AO223-P223,TODAY()-P223))</f>
        <v/>
      </c>
      <c r="AS223" s="37"/>
    </row>
    <row r="224" customFormat="false" ht="21.75" hidden="false" customHeight="true" outlineLevel="0" collapsed="false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3" t="str">
        <f aca="false">IF(A224="","",SUM(Y224:AE224))</f>
        <v/>
      </c>
      <c r="AG224" s="43" t="str">
        <f aca="false">IF(AF224="","",ROUND(AF224*1.2/100,0)*100)</f>
        <v/>
      </c>
      <c r="AH224" s="43"/>
      <c r="AI224" s="43" t="str">
        <f aca="false">IF(AF224="","",ROUND(AF224*1.05/100,0)*100)</f>
        <v/>
      </c>
      <c r="AJ224" s="43" t="str">
        <f aca="false">IF(OR(AH224="",AF224=""),"",AH224-AF224)</f>
        <v/>
      </c>
      <c r="AK224" s="44" t="str">
        <f aca="false">IF(OR(AF224="",AF224=0),"",AJ224/AF224)</f>
        <v/>
      </c>
      <c r="AL224" s="43" t="str">
        <f aca="false">IF(AJ224="","",AJ224-AM224)</f>
        <v/>
      </c>
      <c r="AM224" s="45" t="str">
        <f aca="false">IF(OR(AH224="",AF224=""),"",ROUND((AH224-AF224)/1.2*0.2,2))</f>
        <v/>
      </c>
      <c r="AN224" s="44" t="str">
        <f aca="false">IF(OR(AF224="",AF224=0),"",AL224/AF224)</f>
        <v/>
      </c>
      <c r="AO224" s="42"/>
      <c r="AP224" s="42"/>
      <c r="AQ224" s="42"/>
      <c r="AR224" s="46" t="str">
        <f aca="true">IF(OR(A224="",P224=""),"",IF(AO224&lt;&gt;"",AO224-P224,TODAY()-P224))</f>
        <v/>
      </c>
      <c r="AS224" s="42"/>
    </row>
    <row r="225" customFormat="false" ht="21.75" hidden="false" customHeight="true" outlineLevel="0" collapsed="false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8" t="str">
        <f aca="false">IF(A225="","",SUM(Y225:AE225))</f>
        <v/>
      </c>
      <c r="AG225" s="38" t="str">
        <f aca="false">IF(AF225="","",ROUND(AF225*1.2/100,0)*100)</f>
        <v/>
      </c>
      <c r="AH225" s="38"/>
      <c r="AI225" s="38" t="str">
        <f aca="false">IF(AF225="","",ROUND(AF225*1.05/100,0)*100)</f>
        <v/>
      </c>
      <c r="AJ225" s="38" t="str">
        <f aca="false">IF(OR(AH225="",AF225=""),"",AH225-AF225)</f>
        <v/>
      </c>
      <c r="AK225" s="39" t="str">
        <f aca="false">IF(OR(AF225="",AF225=0),"",AJ225/AF225)</f>
        <v/>
      </c>
      <c r="AL225" s="38" t="str">
        <f aca="false">IF(AJ225="","",AJ225-AM225)</f>
        <v/>
      </c>
      <c r="AM225" s="40" t="str">
        <f aca="false">IF(OR(AH225="",AF225=""),"",ROUND((AH225-AF225)/1.2*0.2,2))</f>
        <v/>
      </c>
      <c r="AN225" s="39" t="str">
        <f aca="false">IF(OR(AF225="",AF225=0),"",AL225/AF225)</f>
        <v/>
      </c>
      <c r="AO225" s="37"/>
      <c r="AP225" s="37"/>
      <c r="AQ225" s="37"/>
      <c r="AR225" s="41" t="str">
        <f aca="true">IF(OR(A225="",P225=""),"",IF(AO225&lt;&gt;"",AO225-P225,TODAY()-P225))</f>
        <v/>
      </c>
      <c r="AS225" s="37"/>
    </row>
    <row r="226" customFormat="false" ht="21.75" hidden="false" customHeight="true" outlineLevel="0" collapsed="false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3" t="str">
        <f aca="false">IF(A226="","",SUM(Y226:AE226))</f>
        <v/>
      </c>
      <c r="AG226" s="43" t="str">
        <f aca="false">IF(AF226="","",ROUND(AF226*1.2/100,0)*100)</f>
        <v/>
      </c>
      <c r="AH226" s="43"/>
      <c r="AI226" s="43" t="str">
        <f aca="false">IF(AF226="","",ROUND(AF226*1.05/100,0)*100)</f>
        <v/>
      </c>
      <c r="AJ226" s="43" t="str">
        <f aca="false">IF(OR(AH226="",AF226=""),"",AH226-AF226)</f>
        <v/>
      </c>
      <c r="AK226" s="44" t="str">
        <f aca="false">IF(OR(AF226="",AF226=0),"",AJ226/AF226)</f>
        <v/>
      </c>
      <c r="AL226" s="43" t="str">
        <f aca="false">IF(AJ226="","",AJ226-AM226)</f>
        <v/>
      </c>
      <c r="AM226" s="45" t="str">
        <f aca="false">IF(OR(AH226="",AF226=""),"",ROUND((AH226-AF226)/1.2*0.2,2))</f>
        <v/>
      </c>
      <c r="AN226" s="44" t="str">
        <f aca="false">IF(OR(AF226="",AF226=0),"",AL226/AF226)</f>
        <v/>
      </c>
      <c r="AO226" s="42"/>
      <c r="AP226" s="42"/>
      <c r="AQ226" s="42"/>
      <c r="AR226" s="46" t="str">
        <f aca="true">IF(OR(A226="",P226=""),"",IF(AO226&lt;&gt;"",AO226-P226,TODAY()-P226))</f>
        <v/>
      </c>
      <c r="AS226" s="42"/>
    </row>
    <row r="227" customFormat="false" ht="21.75" hidden="false" customHeight="true" outlineLevel="0" collapsed="false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8" t="str">
        <f aca="false">IF(A227="","",SUM(Y227:AE227))</f>
        <v/>
      </c>
      <c r="AG227" s="38" t="str">
        <f aca="false">IF(AF227="","",ROUND(AF227*1.2/100,0)*100)</f>
        <v/>
      </c>
      <c r="AH227" s="38"/>
      <c r="AI227" s="38" t="str">
        <f aca="false">IF(AF227="","",ROUND(AF227*1.05/100,0)*100)</f>
        <v/>
      </c>
      <c r="AJ227" s="38" t="str">
        <f aca="false">IF(OR(AH227="",AF227=""),"",AH227-AF227)</f>
        <v/>
      </c>
      <c r="AK227" s="39" t="str">
        <f aca="false">IF(OR(AF227="",AF227=0),"",AJ227/AF227)</f>
        <v/>
      </c>
      <c r="AL227" s="38" t="str">
        <f aca="false">IF(AJ227="","",AJ227-AM227)</f>
        <v/>
      </c>
      <c r="AM227" s="40" t="str">
        <f aca="false">IF(OR(AH227="",AF227=""),"",ROUND((AH227-AF227)/1.2*0.2,2))</f>
        <v/>
      </c>
      <c r="AN227" s="39" t="str">
        <f aca="false">IF(OR(AF227="",AF227=0),"",AL227/AF227)</f>
        <v/>
      </c>
      <c r="AO227" s="37"/>
      <c r="AP227" s="37"/>
      <c r="AQ227" s="37"/>
      <c r="AR227" s="41" t="str">
        <f aca="true">IF(OR(A227="",P227=""),"",IF(AO227&lt;&gt;"",AO227-P227,TODAY()-P227))</f>
        <v/>
      </c>
      <c r="AS227" s="37"/>
    </row>
    <row r="228" customFormat="false" ht="21.75" hidden="false" customHeight="true" outlineLevel="0" collapsed="false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3" t="str">
        <f aca="false">IF(A228="","",SUM(Y228:AE228))</f>
        <v/>
      </c>
      <c r="AG228" s="43" t="str">
        <f aca="false">IF(AF228="","",ROUND(AF228*1.2/100,0)*100)</f>
        <v/>
      </c>
      <c r="AH228" s="43"/>
      <c r="AI228" s="43" t="str">
        <f aca="false">IF(AF228="","",ROUND(AF228*1.05/100,0)*100)</f>
        <v/>
      </c>
      <c r="AJ228" s="43" t="str">
        <f aca="false">IF(OR(AH228="",AF228=""),"",AH228-AF228)</f>
        <v/>
      </c>
      <c r="AK228" s="44" t="str">
        <f aca="false">IF(OR(AF228="",AF228=0),"",AJ228/AF228)</f>
        <v/>
      </c>
      <c r="AL228" s="43" t="str">
        <f aca="false">IF(AJ228="","",AJ228-AM228)</f>
        <v/>
      </c>
      <c r="AM228" s="45" t="str">
        <f aca="false">IF(OR(AH228="",AF228=""),"",ROUND((AH228-AF228)/1.2*0.2,2))</f>
        <v/>
      </c>
      <c r="AN228" s="44" t="str">
        <f aca="false">IF(OR(AF228="",AF228=0),"",AL228/AF228)</f>
        <v/>
      </c>
      <c r="AO228" s="42"/>
      <c r="AP228" s="42"/>
      <c r="AQ228" s="42"/>
      <c r="AR228" s="46" t="str">
        <f aca="true">IF(OR(A228="",P228=""),"",IF(AO228&lt;&gt;"",AO228-P228,TODAY()-P228))</f>
        <v/>
      </c>
      <c r="AS228" s="42"/>
    </row>
    <row r="229" customFormat="false" ht="21.75" hidden="false" customHeight="true" outlineLevel="0" collapsed="false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8" t="str">
        <f aca="false">IF(A229="","",SUM(Y229:AE229))</f>
        <v/>
      </c>
      <c r="AG229" s="38" t="str">
        <f aca="false">IF(AF229="","",ROUND(AF229*1.2/100,0)*100)</f>
        <v/>
      </c>
      <c r="AH229" s="38"/>
      <c r="AI229" s="38" t="str">
        <f aca="false">IF(AF229="","",ROUND(AF229*1.05/100,0)*100)</f>
        <v/>
      </c>
      <c r="AJ229" s="38" t="str">
        <f aca="false">IF(OR(AH229="",AF229=""),"",AH229-AF229)</f>
        <v/>
      </c>
      <c r="AK229" s="39" t="str">
        <f aca="false">IF(OR(AF229="",AF229=0),"",AJ229/AF229)</f>
        <v/>
      </c>
      <c r="AL229" s="38" t="str">
        <f aca="false">IF(AJ229="","",AJ229-AM229)</f>
        <v/>
      </c>
      <c r="AM229" s="40" t="str">
        <f aca="false">IF(OR(AH229="",AF229=""),"",ROUND((AH229-AF229)/1.2*0.2,2))</f>
        <v/>
      </c>
      <c r="AN229" s="39" t="str">
        <f aca="false">IF(OR(AF229="",AF229=0),"",AL229/AF229)</f>
        <v/>
      </c>
      <c r="AO229" s="37"/>
      <c r="AP229" s="37"/>
      <c r="AQ229" s="37"/>
      <c r="AR229" s="41" t="str">
        <f aca="true">IF(OR(A229="",P229=""),"",IF(AO229&lt;&gt;"",AO229-P229,TODAY()-P229))</f>
        <v/>
      </c>
      <c r="AS229" s="37"/>
    </row>
    <row r="230" customFormat="false" ht="21.75" hidden="false" customHeight="true" outlineLevel="0" collapsed="false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3" t="str">
        <f aca="false">IF(A230="","",SUM(Y230:AE230))</f>
        <v/>
      </c>
      <c r="AG230" s="43" t="str">
        <f aca="false">IF(AF230="","",ROUND(AF230*1.2/100,0)*100)</f>
        <v/>
      </c>
      <c r="AH230" s="43"/>
      <c r="AI230" s="43" t="str">
        <f aca="false">IF(AF230="","",ROUND(AF230*1.05/100,0)*100)</f>
        <v/>
      </c>
      <c r="AJ230" s="43" t="str">
        <f aca="false">IF(OR(AH230="",AF230=""),"",AH230-AF230)</f>
        <v/>
      </c>
      <c r="AK230" s="44" t="str">
        <f aca="false">IF(OR(AF230="",AF230=0),"",AJ230/AF230)</f>
        <v/>
      </c>
      <c r="AL230" s="43" t="str">
        <f aca="false">IF(AJ230="","",AJ230-AM230)</f>
        <v/>
      </c>
      <c r="AM230" s="45" t="str">
        <f aca="false">IF(OR(AH230="",AF230=""),"",ROUND((AH230-AF230)/1.2*0.2,2))</f>
        <v/>
      </c>
      <c r="AN230" s="44" t="str">
        <f aca="false">IF(OR(AF230="",AF230=0),"",AL230/AF230)</f>
        <v/>
      </c>
      <c r="AO230" s="42"/>
      <c r="AP230" s="42"/>
      <c r="AQ230" s="42"/>
      <c r="AR230" s="46" t="str">
        <f aca="true">IF(OR(A230="",P230=""),"",IF(AO230&lt;&gt;"",AO230-P230,TODAY()-P230))</f>
        <v/>
      </c>
      <c r="AS230" s="42"/>
    </row>
    <row r="231" customFormat="false" ht="21.75" hidden="false" customHeight="true" outlineLevel="0" collapsed="false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8" t="str">
        <f aca="false">IF(A231="","",SUM(Y231:AE231))</f>
        <v/>
      </c>
      <c r="AG231" s="38" t="str">
        <f aca="false">IF(AF231="","",ROUND(AF231*1.2/100,0)*100)</f>
        <v/>
      </c>
      <c r="AH231" s="38"/>
      <c r="AI231" s="38" t="str">
        <f aca="false">IF(AF231="","",ROUND(AF231*1.05/100,0)*100)</f>
        <v/>
      </c>
      <c r="AJ231" s="38" t="str">
        <f aca="false">IF(OR(AH231="",AF231=""),"",AH231-AF231)</f>
        <v/>
      </c>
      <c r="AK231" s="39" t="str">
        <f aca="false">IF(OR(AF231="",AF231=0),"",AJ231/AF231)</f>
        <v/>
      </c>
      <c r="AL231" s="38" t="str">
        <f aca="false">IF(AJ231="","",AJ231-AM231)</f>
        <v/>
      </c>
      <c r="AM231" s="40" t="str">
        <f aca="false">IF(OR(AH231="",AF231=""),"",ROUND((AH231-AF231)/1.2*0.2,2))</f>
        <v/>
      </c>
      <c r="AN231" s="39" t="str">
        <f aca="false">IF(OR(AF231="",AF231=0),"",AL231/AF231)</f>
        <v/>
      </c>
      <c r="AO231" s="37"/>
      <c r="AP231" s="37"/>
      <c r="AQ231" s="37"/>
      <c r="AR231" s="41" t="str">
        <f aca="true">IF(OR(A231="",P231=""),"",IF(AO231&lt;&gt;"",AO231-P231,TODAY()-P231))</f>
        <v/>
      </c>
      <c r="AS231" s="37"/>
    </row>
    <row r="232" customFormat="false" ht="21.75" hidden="false" customHeight="true" outlineLevel="0" collapsed="false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3" t="str">
        <f aca="false">IF(A232="","",SUM(Y232:AE232))</f>
        <v/>
      </c>
      <c r="AG232" s="43" t="str">
        <f aca="false">IF(AF232="","",ROUND(AF232*1.2/100,0)*100)</f>
        <v/>
      </c>
      <c r="AH232" s="43"/>
      <c r="AI232" s="43" t="str">
        <f aca="false">IF(AF232="","",ROUND(AF232*1.05/100,0)*100)</f>
        <v/>
      </c>
      <c r="AJ232" s="43" t="str">
        <f aca="false">IF(OR(AH232="",AF232=""),"",AH232-AF232)</f>
        <v/>
      </c>
      <c r="AK232" s="44" t="str">
        <f aca="false">IF(OR(AF232="",AF232=0),"",AJ232/AF232)</f>
        <v/>
      </c>
      <c r="AL232" s="43" t="str">
        <f aca="false">IF(AJ232="","",AJ232-AM232)</f>
        <v/>
      </c>
      <c r="AM232" s="45" t="str">
        <f aca="false">IF(OR(AH232="",AF232=""),"",ROUND((AH232-AF232)/1.2*0.2,2))</f>
        <v/>
      </c>
      <c r="AN232" s="44" t="str">
        <f aca="false">IF(OR(AF232="",AF232=0),"",AL232/AF232)</f>
        <v/>
      </c>
      <c r="AO232" s="42"/>
      <c r="AP232" s="42"/>
      <c r="AQ232" s="42"/>
      <c r="AR232" s="46" t="str">
        <f aca="true">IF(OR(A232="",P232=""),"",IF(AO232&lt;&gt;"",AO232-P232,TODAY()-P232))</f>
        <v/>
      </c>
      <c r="AS232" s="42"/>
    </row>
    <row r="233" customFormat="false" ht="21.75" hidden="false" customHeight="true" outlineLevel="0" collapsed="false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8" t="str">
        <f aca="false">IF(A233="","",SUM(Y233:AE233))</f>
        <v/>
      </c>
      <c r="AG233" s="38" t="str">
        <f aca="false">IF(AF233="","",ROUND(AF233*1.2/100,0)*100)</f>
        <v/>
      </c>
      <c r="AH233" s="38"/>
      <c r="AI233" s="38" t="str">
        <f aca="false">IF(AF233="","",ROUND(AF233*1.05/100,0)*100)</f>
        <v/>
      </c>
      <c r="AJ233" s="38" t="str">
        <f aca="false">IF(OR(AH233="",AF233=""),"",AH233-AF233)</f>
        <v/>
      </c>
      <c r="AK233" s="39" t="str">
        <f aca="false">IF(OR(AF233="",AF233=0),"",AJ233/AF233)</f>
        <v/>
      </c>
      <c r="AL233" s="38" t="str">
        <f aca="false">IF(AJ233="","",AJ233-AM233)</f>
        <v/>
      </c>
      <c r="AM233" s="40" t="str">
        <f aca="false">IF(OR(AH233="",AF233=""),"",ROUND((AH233-AF233)/1.2*0.2,2))</f>
        <v/>
      </c>
      <c r="AN233" s="39" t="str">
        <f aca="false">IF(OR(AF233="",AF233=0),"",AL233/AF233)</f>
        <v/>
      </c>
      <c r="AO233" s="37"/>
      <c r="AP233" s="37"/>
      <c r="AQ233" s="37"/>
      <c r="AR233" s="41" t="str">
        <f aca="true">IF(OR(A233="",P233=""),"",IF(AO233&lt;&gt;"",AO233-P233,TODAY()-P233))</f>
        <v/>
      </c>
      <c r="AS233" s="37"/>
    </row>
    <row r="234" customFormat="false" ht="21.75" hidden="false" customHeight="true" outlineLevel="0" collapsed="false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3" t="str">
        <f aca="false">IF(A234="","",SUM(Y234:AE234))</f>
        <v/>
      </c>
      <c r="AG234" s="43" t="str">
        <f aca="false">IF(AF234="","",ROUND(AF234*1.2/100,0)*100)</f>
        <v/>
      </c>
      <c r="AH234" s="43"/>
      <c r="AI234" s="43" t="str">
        <f aca="false">IF(AF234="","",ROUND(AF234*1.05/100,0)*100)</f>
        <v/>
      </c>
      <c r="AJ234" s="43" t="str">
        <f aca="false">IF(OR(AH234="",AF234=""),"",AH234-AF234)</f>
        <v/>
      </c>
      <c r="AK234" s="44" t="str">
        <f aca="false">IF(OR(AF234="",AF234=0),"",AJ234/AF234)</f>
        <v/>
      </c>
      <c r="AL234" s="43" t="str">
        <f aca="false">IF(AJ234="","",AJ234-AM234)</f>
        <v/>
      </c>
      <c r="AM234" s="45" t="str">
        <f aca="false">IF(OR(AH234="",AF234=""),"",ROUND((AH234-AF234)/1.2*0.2,2))</f>
        <v/>
      </c>
      <c r="AN234" s="44" t="str">
        <f aca="false">IF(OR(AF234="",AF234=0),"",AL234/AF234)</f>
        <v/>
      </c>
      <c r="AO234" s="42"/>
      <c r="AP234" s="42"/>
      <c r="AQ234" s="42"/>
      <c r="AR234" s="46" t="str">
        <f aca="true">IF(OR(A234="",P234=""),"",IF(AO234&lt;&gt;"",AO234-P234,TODAY()-P234))</f>
        <v/>
      </c>
      <c r="AS234" s="42"/>
    </row>
    <row r="235" customFormat="false" ht="21.75" hidden="false" customHeight="true" outlineLevel="0" collapsed="false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8" t="str">
        <f aca="false">IF(A235="","",SUM(Y235:AE235))</f>
        <v/>
      </c>
      <c r="AG235" s="38" t="str">
        <f aca="false">IF(AF235="","",ROUND(AF235*1.2/100,0)*100)</f>
        <v/>
      </c>
      <c r="AH235" s="38"/>
      <c r="AI235" s="38" t="str">
        <f aca="false">IF(AF235="","",ROUND(AF235*1.05/100,0)*100)</f>
        <v/>
      </c>
      <c r="AJ235" s="38" t="str">
        <f aca="false">IF(OR(AH235="",AF235=""),"",AH235-AF235)</f>
        <v/>
      </c>
      <c r="AK235" s="39" t="str">
        <f aca="false">IF(OR(AF235="",AF235=0),"",AJ235/AF235)</f>
        <v/>
      </c>
      <c r="AL235" s="38" t="str">
        <f aca="false">IF(AJ235="","",AJ235-AM235)</f>
        <v/>
      </c>
      <c r="AM235" s="40" t="str">
        <f aca="false">IF(OR(AH235="",AF235=""),"",ROUND((AH235-AF235)/1.2*0.2,2))</f>
        <v/>
      </c>
      <c r="AN235" s="39" t="str">
        <f aca="false">IF(OR(AF235="",AF235=0),"",AL235/AF235)</f>
        <v/>
      </c>
      <c r="AO235" s="37"/>
      <c r="AP235" s="37"/>
      <c r="AQ235" s="37"/>
      <c r="AR235" s="41" t="str">
        <f aca="true">IF(OR(A235="",P235=""),"",IF(AO235&lt;&gt;"",AO235-P235,TODAY()-P235))</f>
        <v/>
      </c>
      <c r="AS235" s="37"/>
    </row>
    <row r="236" customFormat="false" ht="21.75" hidden="false" customHeight="true" outlineLevel="0" collapsed="false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3" t="str">
        <f aca="false">IF(A236="","",SUM(Y236:AE236))</f>
        <v/>
      </c>
      <c r="AG236" s="43" t="str">
        <f aca="false">IF(AF236="","",ROUND(AF236*1.2/100,0)*100)</f>
        <v/>
      </c>
      <c r="AH236" s="43"/>
      <c r="AI236" s="43" t="str">
        <f aca="false">IF(AF236="","",ROUND(AF236*1.05/100,0)*100)</f>
        <v/>
      </c>
      <c r="AJ236" s="43" t="str">
        <f aca="false">IF(OR(AH236="",AF236=""),"",AH236-AF236)</f>
        <v/>
      </c>
      <c r="AK236" s="44" t="str">
        <f aca="false">IF(OR(AF236="",AF236=0),"",AJ236/AF236)</f>
        <v/>
      </c>
      <c r="AL236" s="43" t="str">
        <f aca="false">IF(AJ236="","",AJ236-AM236)</f>
        <v/>
      </c>
      <c r="AM236" s="45" t="str">
        <f aca="false">IF(OR(AH236="",AF236=""),"",ROUND((AH236-AF236)/1.2*0.2,2))</f>
        <v/>
      </c>
      <c r="AN236" s="44" t="str">
        <f aca="false">IF(OR(AF236="",AF236=0),"",AL236/AF236)</f>
        <v/>
      </c>
      <c r="AO236" s="42"/>
      <c r="AP236" s="42"/>
      <c r="AQ236" s="42"/>
      <c r="AR236" s="46" t="str">
        <f aca="true">IF(OR(A236="",P236=""),"",IF(AO236&lt;&gt;"",AO236-P236,TODAY()-P236))</f>
        <v/>
      </c>
      <c r="AS236" s="42"/>
    </row>
    <row r="237" customFormat="false" ht="21.75" hidden="false" customHeight="true" outlineLevel="0" collapsed="false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8" t="str">
        <f aca="false">IF(A237="","",SUM(Y237:AE237))</f>
        <v/>
      </c>
      <c r="AG237" s="38" t="str">
        <f aca="false">IF(AF237="","",ROUND(AF237*1.2/100,0)*100)</f>
        <v/>
      </c>
      <c r="AH237" s="38"/>
      <c r="AI237" s="38" t="str">
        <f aca="false">IF(AF237="","",ROUND(AF237*1.05/100,0)*100)</f>
        <v/>
      </c>
      <c r="AJ237" s="38" t="str">
        <f aca="false">IF(OR(AH237="",AF237=""),"",AH237-AF237)</f>
        <v/>
      </c>
      <c r="AK237" s="39" t="str">
        <f aca="false">IF(OR(AF237="",AF237=0),"",AJ237/AF237)</f>
        <v/>
      </c>
      <c r="AL237" s="38" t="str">
        <f aca="false">IF(AJ237="","",AJ237-AM237)</f>
        <v/>
      </c>
      <c r="AM237" s="40" t="str">
        <f aca="false">IF(OR(AH237="",AF237=""),"",ROUND((AH237-AF237)/1.2*0.2,2))</f>
        <v/>
      </c>
      <c r="AN237" s="39" t="str">
        <f aca="false">IF(OR(AF237="",AF237=0),"",AL237/AF237)</f>
        <v/>
      </c>
      <c r="AO237" s="37"/>
      <c r="AP237" s="37"/>
      <c r="AQ237" s="37"/>
      <c r="AR237" s="41" t="str">
        <f aca="true">IF(OR(A237="",P237=""),"",IF(AO237&lt;&gt;"",AO237-P237,TODAY()-P237))</f>
        <v/>
      </c>
      <c r="AS237" s="37"/>
    </row>
    <row r="238" customFormat="false" ht="21.75" hidden="false" customHeight="true" outlineLevel="0" collapsed="false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3" t="str">
        <f aca="false">IF(A238="","",SUM(Y238:AE238))</f>
        <v/>
      </c>
      <c r="AG238" s="43" t="str">
        <f aca="false">IF(AF238="","",ROUND(AF238*1.2/100,0)*100)</f>
        <v/>
      </c>
      <c r="AH238" s="43"/>
      <c r="AI238" s="43" t="str">
        <f aca="false">IF(AF238="","",ROUND(AF238*1.05/100,0)*100)</f>
        <v/>
      </c>
      <c r="AJ238" s="43" t="str">
        <f aca="false">IF(OR(AH238="",AF238=""),"",AH238-AF238)</f>
        <v/>
      </c>
      <c r="AK238" s="44" t="str">
        <f aca="false">IF(OR(AF238="",AF238=0),"",AJ238/AF238)</f>
        <v/>
      </c>
      <c r="AL238" s="43" t="str">
        <f aca="false">IF(AJ238="","",AJ238-AM238)</f>
        <v/>
      </c>
      <c r="AM238" s="45" t="str">
        <f aca="false">IF(OR(AH238="",AF238=""),"",ROUND((AH238-AF238)/1.2*0.2,2))</f>
        <v/>
      </c>
      <c r="AN238" s="44" t="str">
        <f aca="false">IF(OR(AF238="",AF238=0),"",AL238/AF238)</f>
        <v/>
      </c>
      <c r="AO238" s="42"/>
      <c r="AP238" s="42"/>
      <c r="AQ238" s="42"/>
      <c r="AR238" s="46" t="str">
        <f aca="true">IF(OR(A238="",P238=""),"",IF(AO238&lt;&gt;"",AO238-P238,TODAY()-P238))</f>
        <v/>
      </c>
      <c r="AS238" s="42"/>
    </row>
    <row r="239" customFormat="false" ht="21.75" hidden="false" customHeight="true" outlineLevel="0" collapsed="false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8" t="str">
        <f aca="false">IF(A239="","",SUM(Y239:AE239))</f>
        <v/>
      </c>
      <c r="AG239" s="38" t="str">
        <f aca="false">IF(AF239="","",ROUND(AF239*1.2/100,0)*100)</f>
        <v/>
      </c>
      <c r="AH239" s="38"/>
      <c r="AI239" s="38" t="str">
        <f aca="false">IF(AF239="","",ROUND(AF239*1.05/100,0)*100)</f>
        <v/>
      </c>
      <c r="AJ239" s="38" t="str">
        <f aca="false">IF(OR(AH239="",AF239=""),"",AH239-AF239)</f>
        <v/>
      </c>
      <c r="AK239" s="39" t="str">
        <f aca="false">IF(OR(AF239="",AF239=0),"",AJ239/AF239)</f>
        <v/>
      </c>
      <c r="AL239" s="38" t="str">
        <f aca="false">IF(AJ239="","",AJ239-AM239)</f>
        <v/>
      </c>
      <c r="AM239" s="40" t="str">
        <f aca="false">IF(OR(AH239="",AF239=""),"",ROUND((AH239-AF239)/1.2*0.2,2))</f>
        <v/>
      </c>
      <c r="AN239" s="39" t="str">
        <f aca="false">IF(OR(AF239="",AF239=0),"",AL239/AF239)</f>
        <v/>
      </c>
      <c r="AO239" s="37"/>
      <c r="AP239" s="37"/>
      <c r="AQ239" s="37"/>
      <c r="AR239" s="41" t="str">
        <f aca="true">IF(OR(A239="",P239=""),"",IF(AO239&lt;&gt;"",AO239-P239,TODAY()-P239))</f>
        <v/>
      </c>
      <c r="AS239" s="37"/>
    </row>
    <row r="240" customFormat="false" ht="21.75" hidden="false" customHeight="true" outlineLevel="0" collapsed="false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3" t="str">
        <f aca="false">IF(A240="","",SUM(Y240:AE240))</f>
        <v/>
      </c>
      <c r="AG240" s="43" t="str">
        <f aca="false">IF(AF240="","",ROUND(AF240*1.2/100,0)*100)</f>
        <v/>
      </c>
      <c r="AH240" s="43"/>
      <c r="AI240" s="43" t="str">
        <f aca="false">IF(AF240="","",ROUND(AF240*1.05/100,0)*100)</f>
        <v/>
      </c>
      <c r="AJ240" s="43" t="str">
        <f aca="false">IF(OR(AH240="",AF240=""),"",AH240-AF240)</f>
        <v/>
      </c>
      <c r="AK240" s="44" t="str">
        <f aca="false">IF(OR(AF240="",AF240=0),"",AJ240/AF240)</f>
        <v/>
      </c>
      <c r="AL240" s="43" t="str">
        <f aca="false">IF(AJ240="","",AJ240-AM240)</f>
        <v/>
      </c>
      <c r="AM240" s="45" t="str">
        <f aca="false">IF(OR(AH240="",AF240=""),"",ROUND((AH240-AF240)/1.2*0.2,2))</f>
        <v/>
      </c>
      <c r="AN240" s="44" t="str">
        <f aca="false">IF(OR(AF240="",AF240=0),"",AL240/AF240)</f>
        <v/>
      </c>
      <c r="AO240" s="42"/>
      <c r="AP240" s="42"/>
      <c r="AQ240" s="42"/>
      <c r="AR240" s="46" t="str">
        <f aca="true">IF(OR(A240="",P240=""),"",IF(AO240&lt;&gt;"",AO240-P240,TODAY()-P240))</f>
        <v/>
      </c>
      <c r="AS240" s="42"/>
    </row>
    <row r="241" customFormat="false" ht="21.75" hidden="false" customHeight="true" outlineLevel="0" collapsed="false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8" t="str">
        <f aca="false">IF(A241="","",SUM(Y241:AE241))</f>
        <v/>
      </c>
      <c r="AG241" s="38" t="str">
        <f aca="false">IF(AF241="","",ROUND(AF241*1.2/100,0)*100)</f>
        <v/>
      </c>
      <c r="AH241" s="38"/>
      <c r="AI241" s="38" t="str">
        <f aca="false">IF(AF241="","",ROUND(AF241*1.05/100,0)*100)</f>
        <v/>
      </c>
      <c r="AJ241" s="38" t="str">
        <f aca="false">IF(OR(AH241="",AF241=""),"",AH241-AF241)</f>
        <v/>
      </c>
      <c r="AK241" s="39" t="str">
        <f aca="false">IF(OR(AF241="",AF241=0),"",AJ241/AF241)</f>
        <v/>
      </c>
      <c r="AL241" s="38" t="str">
        <f aca="false">IF(AJ241="","",AJ241-AM241)</f>
        <v/>
      </c>
      <c r="AM241" s="40" t="str">
        <f aca="false">IF(OR(AH241="",AF241=""),"",ROUND((AH241-AF241)/1.2*0.2,2))</f>
        <v/>
      </c>
      <c r="AN241" s="39" t="str">
        <f aca="false">IF(OR(AF241="",AF241=0),"",AL241/AF241)</f>
        <v/>
      </c>
      <c r="AO241" s="37"/>
      <c r="AP241" s="37"/>
      <c r="AQ241" s="37"/>
      <c r="AR241" s="41" t="str">
        <f aca="true">IF(OR(A241="",P241=""),"",IF(AO241&lt;&gt;"",AO241-P241,TODAY()-P241))</f>
        <v/>
      </c>
      <c r="AS241" s="37"/>
    </row>
    <row r="242" customFormat="false" ht="21.75" hidden="false" customHeight="true" outlineLevel="0" collapsed="false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3" t="str">
        <f aca="false">IF(A242="","",SUM(Y242:AE242))</f>
        <v/>
      </c>
      <c r="AG242" s="43" t="str">
        <f aca="false">IF(AF242="","",ROUND(AF242*1.2/100,0)*100)</f>
        <v/>
      </c>
      <c r="AH242" s="43"/>
      <c r="AI242" s="43" t="str">
        <f aca="false">IF(AF242="","",ROUND(AF242*1.05/100,0)*100)</f>
        <v/>
      </c>
      <c r="AJ242" s="43" t="str">
        <f aca="false">IF(OR(AH242="",AF242=""),"",AH242-AF242)</f>
        <v/>
      </c>
      <c r="AK242" s="44" t="str">
        <f aca="false">IF(OR(AF242="",AF242=0),"",AJ242/AF242)</f>
        <v/>
      </c>
      <c r="AL242" s="43" t="str">
        <f aca="false">IF(AJ242="","",AJ242-AM242)</f>
        <v/>
      </c>
      <c r="AM242" s="45" t="str">
        <f aca="false">IF(OR(AH242="",AF242=""),"",ROUND((AH242-AF242)/1.2*0.2,2))</f>
        <v/>
      </c>
      <c r="AN242" s="44" t="str">
        <f aca="false">IF(OR(AF242="",AF242=0),"",AL242/AF242)</f>
        <v/>
      </c>
      <c r="AO242" s="42"/>
      <c r="AP242" s="42"/>
      <c r="AQ242" s="42"/>
      <c r="AR242" s="46" t="str">
        <f aca="true">IF(OR(A242="",P242=""),"",IF(AO242&lt;&gt;"",AO242-P242,TODAY()-P242))</f>
        <v/>
      </c>
      <c r="AS242" s="42"/>
    </row>
    <row r="243" customFormat="false" ht="21.75" hidden="false" customHeight="true" outlineLevel="0" collapsed="false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8" t="str">
        <f aca="false">IF(A243="","",SUM(Y243:AE243))</f>
        <v/>
      </c>
      <c r="AG243" s="38" t="str">
        <f aca="false">IF(AF243="","",ROUND(AF243*1.2/100,0)*100)</f>
        <v/>
      </c>
      <c r="AH243" s="38"/>
      <c r="AI243" s="38" t="str">
        <f aca="false">IF(AF243="","",ROUND(AF243*1.05/100,0)*100)</f>
        <v/>
      </c>
      <c r="AJ243" s="38" t="str">
        <f aca="false">IF(OR(AH243="",AF243=""),"",AH243-AF243)</f>
        <v/>
      </c>
      <c r="AK243" s="39" t="str">
        <f aca="false">IF(OR(AF243="",AF243=0),"",AJ243/AF243)</f>
        <v/>
      </c>
      <c r="AL243" s="38" t="str">
        <f aca="false">IF(AJ243="","",AJ243-AM243)</f>
        <v/>
      </c>
      <c r="AM243" s="40" t="str">
        <f aca="false">IF(OR(AH243="",AF243=""),"",ROUND((AH243-AF243)/1.2*0.2,2))</f>
        <v/>
      </c>
      <c r="AN243" s="39" t="str">
        <f aca="false">IF(OR(AF243="",AF243=0),"",AL243/AF243)</f>
        <v/>
      </c>
      <c r="AO243" s="37"/>
      <c r="AP243" s="37"/>
      <c r="AQ243" s="37"/>
      <c r="AR243" s="41" t="str">
        <f aca="true">IF(OR(A243="",P243=""),"",IF(AO243&lt;&gt;"",AO243-P243,TODAY()-P243))</f>
        <v/>
      </c>
      <c r="AS243" s="37"/>
    </row>
    <row r="244" customFormat="false" ht="21.75" hidden="false" customHeight="true" outlineLevel="0" collapsed="false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3" t="str">
        <f aca="false">IF(A244="","",SUM(Y244:AE244))</f>
        <v/>
      </c>
      <c r="AG244" s="43" t="str">
        <f aca="false">IF(AF244="","",ROUND(AF244*1.2/100,0)*100)</f>
        <v/>
      </c>
      <c r="AH244" s="43"/>
      <c r="AI244" s="43" t="str">
        <f aca="false">IF(AF244="","",ROUND(AF244*1.05/100,0)*100)</f>
        <v/>
      </c>
      <c r="AJ244" s="43" t="str">
        <f aca="false">IF(OR(AH244="",AF244=""),"",AH244-AF244)</f>
        <v/>
      </c>
      <c r="AK244" s="44" t="str">
        <f aca="false">IF(OR(AF244="",AF244=0),"",AJ244/AF244)</f>
        <v/>
      </c>
      <c r="AL244" s="43" t="str">
        <f aca="false">IF(AJ244="","",AJ244-AM244)</f>
        <v/>
      </c>
      <c r="AM244" s="45" t="str">
        <f aca="false">IF(OR(AH244="",AF244=""),"",ROUND((AH244-AF244)/1.2*0.2,2))</f>
        <v/>
      </c>
      <c r="AN244" s="44" t="str">
        <f aca="false">IF(OR(AF244="",AF244=0),"",AL244/AF244)</f>
        <v/>
      </c>
      <c r="AO244" s="42"/>
      <c r="AP244" s="42"/>
      <c r="AQ244" s="42"/>
      <c r="AR244" s="46" t="str">
        <f aca="true">IF(OR(A244="",P244=""),"",IF(AO244&lt;&gt;"",AO244-P244,TODAY()-P244))</f>
        <v/>
      </c>
      <c r="AS244" s="42"/>
    </row>
    <row r="245" customFormat="false" ht="21.75" hidden="false" customHeight="true" outlineLevel="0" collapsed="false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8" t="str">
        <f aca="false">IF(A245="","",SUM(Y245:AE245))</f>
        <v/>
      </c>
      <c r="AG245" s="38" t="str">
        <f aca="false">IF(AF245="","",ROUND(AF245*1.2/100,0)*100)</f>
        <v/>
      </c>
      <c r="AH245" s="38"/>
      <c r="AI245" s="38" t="str">
        <f aca="false">IF(AF245="","",ROUND(AF245*1.05/100,0)*100)</f>
        <v/>
      </c>
      <c r="AJ245" s="38" t="str">
        <f aca="false">IF(OR(AH245="",AF245=""),"",AH245-AF245)</f>
        <v/>
      </c>
      <c r="AK245" s="39" t="str">
        <f aca="false">IF(OR(AF245="",AF245=0),"",AJ245/AF245)</f>
        <v/>
      </c>
      <c r="AL245" s="38" t="str">
        <f aca="false">IF(AJ245="","",AJ245-AM245)</f>
        <v/>
      </c>
      <c r="AM245" s="40" t="str">
        <f aca="false">IF(OR(AH245="",AF245=""),"",ROUND((AH245-AF245)/1.2*0.2,2))</f>
        <v/>
      </c>
      <c r="AN245" s="39" t="str">
        <f aca="false">IF(OR(AF245="",AF245=0),"",AL245/AF245)</f>
        <v/>
      </c>
      <c r="AO245" s="37"/>
      <c r="AP245" s="37"/>
      <c r="AQ245" s="37"/>
      <c r="AR245" s="41" t="str">
        <f aca="true">IF(OR(A245="",P245=""),"",IF(AO245&lt;&gt;"",AO245-P245,TODAY()-P245))</f>
        <v/>
      </c>
      <c r="AS245" s="37"/>
    </row>
    <row r="246" customFormat="false" ht="21.75" hidden="false" customHeight="true" outlineLevel="0" collapsed="false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3" t="str">
        <f aca="false">IF(A246="","",SUM(Y246:AE246))</f>
        <v/>
      </c>
      <c r="AG246" s="43" t="str">
        <f aca="false">IF(AF246="","",ROUND(AF246*1.2/100,0)*100)</f>
        <v/>
      </c>
      <c r="AH246" s="43"/>
      <c r="AI246" s="43" t="str">
        <f aca="false">IF(AF246="","",ROUND(AF246*1.05/100,0)*100)</f>
        <v/>
      </c>
      <c r="AJ246" s="43" t="str">
        <f aca="false">IF(OR(AH246="",AF246=""),"",AH246-AF246)</f>
        <v/>
      </c>
      <c r="AK246" s="44" t="str">
        <f aca="false">IF(OR(AF246="",AF246=0),"",AJ246/AF246)</f>
        <v/>
      </c>
      <c r="AL246" s="43" t="str">
        <f aca="false">IF(AJ246="","",AJ246-AM246)</f>
        <v/>
      </c>
      <c r="AM246" s="45" t="str">
        <f aca="false">IF(OR(AH246="",AF246=""),"",ROUND((AH246-AF246)/1.2*0.2,2))</f>
        <v/>
      </c>
      <c r="AN246" s="44" t="str">
        <f aca="false">IF(OR(AF246="",AF246=0),"",AL246/AF246)</f>
        <v/>
      </c>
      <c r="AO246" s="42"/>
      <c r="AP246" s="42"/>
      <c r="AQ246" s="42"/>
      <c r="AR246" s="46" t="str">
        <f aca="true">IF(OR(A246="",P246=""),"",IF(AO246&lt;&gt;"",AO246-P246,TODAY()-P246))</f>
        <v/>
      </c>
      <c r="AS246" s="42"/>
    </row>
    <row r="247" customFormat="false" ht="21.75" hidden="false" customHeight="true" outlineLevel="0" collapsed="false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8" t="str">
        <f aca="false">IF(A247="","",SUM(Y247:AE247))</f>
        <v/>
      </c>
      <c r="AG247" s="38" t="str">
        <f aca="false">IF(AF247="","",ROUND(AF247*1.2/100,0)*100)</f>
        <v/>
      </c>
      <c r="AH247" s="38"/>
      <c r="AI247" s="38" t="str">
        <f aca="false">IF(AF247="","",ROUND(AF247*1.05/100,0)*100)</f>
        <v/>
      </c>
      <c r="AJ247" s="38" t="str">
        <f aca="false">IF(OR(AH247="",AF247=""),"",AH247-AF247)</f>
        <v/>
      </c>
      <c r="AK247" s="39" t="str">
        <f aca="false">IF(OR(AF247="",AF247=0),"",AJ247/AF247)</f>
        <v/>
      </c>
      <c r="AL247" s="38" t="str">
        <f aca="false">IF(AJ247="","",AJ247-AM247)</f>
        <v/>
      </c>
      <c r="AM247" s="40" t="str">
        <f aca="false">IF(OR(AH247="",AF247=""),"",ROUND((AH247-AF247)/1.2*0.2,2))</f>
        <v/>
      </c>
      <c r="AN247" s="39" t="str">
        <f aca="false">IF(OR(AF247="",AF247=0),"",AL247/AF247)</f>
        <v/>
      </c>
      <c r="AO247" s="37"/>
      <c r="AP247" s="37"/>
      <c r="AQ247" s="37"/>
      <c r="AR247" s="41" t="str">
        <f aca="true">IF(OR(A247="",P247=""),"",IF(AO247&lt;&gt;"",AO247-P247,TODAY()-P247))</f>
        <v/>
      </c>
      <c r="AS247" s="37"/>
    </row>
    <row r="248" customFormat="false" ht="21.75" hidden="false" customHeight="true" outlineLevel="0" collapsed="false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3" t="str">
        <f aca="false">IF(A248="","",SUM(Y248:AE248))</f>
        <v/>
      </c>
      <c r="AG248" s="43" t="str">
        <f aca="false">IF(AF248="","",ROUND(AF248*1.2/100,0)*100)</f>
        <v/>
      </c>
      <c r="AH248" s="43"/>
      <c r="AI248" s="43" t="str">
        <f aca="false">IF(AF248="","",ROUND(AF248*1.05/100,0)*100)</f>
        <v/>
      </c>
      <c r="AJ248" s="43" t="str">
        <f aca="false">IF(OR(AH248="",AF248=""),"",AH248-AF248)</f>
        <v/>
      </c>
      <c r="AK248" s="44" t="str">
        <f aca="false">IF(OR(AF248="",AF248=0),"",AJ248/AF248)</f>
        <v/>
      </c>
      <c r="AL248" s="43" t="str">
        <f aca="false">IF(AJ248="","",AJ248-AM248)</f>
        <v/>
      </c>
      <c r="AM248" s="45" t="str">
        <f aca="false">IF(OR(AH248="",AF248=""),"",ROUND((AH248-AF248)/1.2*0.2,2))</f>
        <v/>
      </c>
      <c r="AN248" s="44" t="str">
        <f aca="false">IF(OR(AF248="",AF248=0),"",AL248/AF248)</f>
        <v/>
      </c>
      <c r="AO248" s="42"/>
      <c r="AP248" s="42"/>
      <c r="AQ248" s="42"/>
      <c r="AR248" s="46" t="str">
        <f aca="true">IF(OR(A248="",P248=""),"",IF(AO248&lt;&gt;"",AO248-P248,TODAY()-P248))</f>
        <v/>
      </c>
      <c r="AS248" s="42"/>
    </row>
    <row r="249" customFormat="false" ht="21.75" hidden="false" customHeight="true" outlineLevel="0" collapsed="false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8" t="str">
        <f aca="false">IF(A249="","",SUM(Y249:AE249))</f>
        <v/>
      </c>
      <c r="AG249" s="38" t="str">
        <f aca="false">IF(AF249="","",ROUND(AF249*1.2/100,0)*100)</f>
        <v/>
      </c>
      <c r="AH249" s="38"/>
      <c r="AI249" s="38" t="str">
        <f aca="false">IF(AF249="","",ROUND(AF249*1.05/100,0)*100)</f>
        <v/>
      </c>
      <c r="AJ249" s="38" t="str">
        <f aca="false">IF(OR(AH249="",AF249=""),"",AH249-AF249)</f>
        <v/>
      </c>
      <c r="AK249" s="39" t="str">
        <f aca="false">IF(OR(AF249="",AF249=0),"",AJ249/AF249)</f>
        <v/>
      </c>
      <c r="AL249" s="38" t="str">
        <f aca="false">IF(AJ249="","",AJ249-AM249)</f>
        <v/>
      </c>
      <c r="AM249" s="40" t="str">
        <f aca="false">IF(OR(AH249="",AF249=""),"",ROUND((AH249-AF249)/1.2*0.2,2))</f>
        <v/>
      </c>
      <c r="AN249" s="39" t="str">
        <f aca="false">IF(OR(AF249="",AF249=0),"",AL249/AF249)</f>
        <v/>
      </c>
      <c r="AO249" s="37"/>
      <c r="AP249" s="37"/>
      <c r="AQ249" s="37"/>
      <c r="AR249" s="41" t="str">
        <f aca="true">IF(OR(A249="",P249=""),"",IF(AO249&lt;&gt;"",AO249-P249,TODAY()-P249))</f>
        <v/>
      </c>
      <c r="AS249" s="37"/>
    </row>
    <row r="250" customFormat="false" ht="21.75" hidden="false" customHeight="true" outlineLevel="0" collapsed="false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3" t="str">
        <f aca="false">IF(A250="","",SUM(Y250:AE250))</f>
        <v/>
      </c>
      <c r="AG250" s="43" t="str">
        <f aca="false">IF(AF250="","",ROUND(AF250*1.2/100,0)*100)</f>
        <v/>
      </c>
      <c r="AH250" s="43"/>
      <c r="AI250" s="43" t="str">
        <f aca="false">IF(AF250="","",ROUND(AF250*1.05/100,0)*100)</f>
        <v/>
      </c>
      <c r="AJ250" s="43" t="str">
        <f aca="false">IF(OR(AH250="",AF250=""),"",AH250-AF250)</f>
        <v/>
      </c>
      <c r="AK250" s="44" t="str">
        <f aca="false">IF(OR(AF250="",AF250=0),"",AJ250/AF250)</f>
        <v/>
      </c>
      <c r="AL250" s="43" t="str">
        <f aca="false">IF(AJ250="","",AJ250-AM250)</f>
        <v/>
      </c>
      <c r="AM250" s="45" t="str">
        <f aca="false">IF(OR(AH250="",AF250=""),"",ROUND((AH250-AF250)/1.2*0.2,2))</f>
        <v/>
      </c>
      <c r="AN250" s="44" t="str">
        <f aca="false">IF(OR(AF250="",AF250=0),"",AL250/AF250)</f>
        <v/>
      </c>
      <c r="AO250" s="42"/>
      <c r="AP250" s="42"/>
      <c r="AQ250" s="42"/>
      <c r="AR250" s="46" t="str">
        <f aca="true">IF(OR(A250="",P250=""),"",IF(AO250&lt;&gt;"",AO250-P250,TODAY()-P250))</f>
        <v/>
      </c>
      <c r="AS250" s="42"/>
    </row>
    <row r="251" customFormat="false" ht="21.75" hidden="false" customHeight="true" outlineLevel="0" collapsed="false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8" t="str">
        <f aca="false">IF(A251="","",SUM(Y251:AE251))</f>
        <v/>
      </c>
      <c r="AG251" s="38" t="str">
        <f aca="false">IF(AF251="","",ROUND(AF251*1.2/100,0)*100)</f>
        <v/>
      </c>
      <c r="AH251" s="38"/>
      <c r="AI251" s="38" t="str">
        <f aca="false">IF(AF251="","",ROUND(AF251*1.05/100,0)*100)</f>
        <v/>
      </c>
      <c r="AJ251" s="38" t="str">
        <f aca="false">IF(OR(AH251="",AF251=""),"",AH251-AF251)</f>
        <v/>
      </c>
      <c r="AK251" s="39" t="str">
        <f aca="false">IF(OR(AF251="",AF251=0),"",AJ251/AF251)</f>
        <v/>
      </c>
      <c r="AL251" s="38" t="str">
        <f aca="false">IF(AJ251="","",AJ251-AM251)</f>
        <v/>
      </c>
      <c r="AM251" s="40" t="str">
        <f aca="false">IF(OR(AH251="",AF251=""),"",ROUND((AH251-AF251)/1.2*0.2,2))</f>
        <v/>
      </c>
      <c r="AN251" s="39" t="str">
        <f aca="false">IF(OR(AF251="",AF251=0),"",AL251/AF251)</f>
        <v/>
      </c>
      <c r="AO251" s="37"/>
      <c r="AP251" s="37"/>
      <c r="AQ251" s="37"/>
      <c r="AR251" s="41" t="str">
        <f aca="true">IF(OR(A251="",P251=""),"",IF(AO251&lt;&gt;"",AO251-P251,TODAY()-P251))</f>
        <v/>
      </c>
      <c r="AS251" s="37"/>
    </row>
    <row r="252" customFormat="false" ht="21.75" hidden="false" customHeight="true" outlineLevel="0" collapsed="false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3" t="str">
        <f aca="false">IF(A252="","",SUM(Y252:AE252))</f>
        <v/>
      </c>
      <c r="AG252" s="43" t="str">
        <f aca="false">IF(AF252="","",ROUND(AF252*1.2/100,0)*100)</f>
        <v/>
      </c>
      <c r="AH252" s="43"/>
      <c r="AI252" s="43" t="str">
        <f aca="false">IF(AF252="","",ROUND(AF252*1.05/100,0)*100)</f>
        <v/>
      </c>
      <c r="AJ252" s="43" t="str">
        <f aca="false">IF(OR(AH252="",AF252=""),"",AH252-AF252)</f>
        <v/>
      </c>
      <c r="AK252" s="44" t="str">
        <f aca="false">IF(OR(AF252="",AF252=0),"",AJ252/AF252)</f>
        <v/>
      </c>
      <c r="AL252" s="43" t="str">
        <f aca="false">IF(AJ252="","",AJ252-AM252)</f>
        <v/>
      </c>
      <c r="AM252" s="45" t="str">
        <f aca="false">IF(OR(AH252="",AF252=""),"",ROUND((AH252-AF252)/1.2*0.2,2))</f>
        <v/>
      </c>
      <c r="AN252" s="44" t="str">
        <f aca="false">IF(OR(AF252="",AF252=0),"",AL252/AF252)</f>
        <v/>
      </c>
      <c r="AO252" s="42"/>
      <c r="AP252" s="42"/>
      <c r="AQ252" s="42"/>
      <c r="AR252" s="46" t="str">
        <f aca="true">IF(OR(A252="",P252=""),"",IF(AO252&lt;&gt;"",AO252-P252,TODAY()-P252))</f>
        <v/>
      </c>
      <c r="AS252" s="42"/>
    </row>
    <row r="253" customFormat="false" ht="21.75" hidden="false" customHeight="true" outlineLevel="0" collapsed="false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8" t="str">
        <f aca="false">IF(A253="","",SUM(Y253:AE253))</f>
        <v/>
      </c>
      <c r="AG253" s="38" t="str">
        <f aca="false">IF(AF253="","",ROUND(AF253*1.2/100,0)*100)</f>
        <v/>
      </c>
      <c r="AH253" s="38"/>
      <c r="AI253" s="38" t="str">
        <f aca="false">IF(AF253="","",ROUND(AF253*1.05/100,0)*100)</f>
        <v/>
      </c>
      <c r="AJ253" s="38" t="str">
        <f aca="false">IF(OR(AH253="",AF253=""),"",AH253-AF253)</f>
        <v/>
      </c>
      <c r="AK253" s="39" t="str">
        <f aca="false">IF(OR(AF253="",AF253=0),"",AJ253/AF253)</f>
        <v/>
      </c>
      <c r="AL253" s="38" t="str">
        <f aca="false">IF(AJ253="","",AJ253-AM253)</f>
        <v/>
      </c>
      <c r="AM253" s="40" t="str">
        <f aca="false">IF(OR(AH253="",AF253=""),"",ROUND((AH253-AF253)/1.2*0.2,2))</f>
        <v/>
      </c>
      <c r="AN253" s="39" t="str">
        <f aca="false">IF(OR(AF253="",AF253=0),"",AL253/AF253)</f>
        <v/>
      </c>
      <c r="AO253" s="37"/>
      <c r="AP253" s="37"/>
      <c r="AQ253" s="37"/>
      <c r="AR253" s="41" t="str">
        <f aca="true">IF(OR(A253="",P253=""),"",IF(AO253&lt;&gt;"",AO253-P253,TODAY()-P253))</f>
        <v/>
      </c>
      <c r="AS253" s="37"/>
    </row>
    <row r="254" customFormat="false" ht="21.75" hidden="false" customHeight="true" outlineLevel="0" collapsed="false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3" t="str">
        <f aca="false">IF(A254="","",SUM(Y254:AE254))</f>
        <v/>
      </c>
      <c r="AG254" s="43" t="str">
        <f aca="false">IF(AF254="","",ROUND(AF254*1.2/100,0)*100)</f>
        <v/>
      </c>
      <c r="AH254" s="43"/>
      <c r="AI254" s="43" t="str">
        <f aca="false">IF(AF254="","",ROUND(AF254*1.05/100,0)*100)</f>
        <v/>
      </c>
      <c r="AJ254" s="43" t="str">
        <f aca="false">IF(OR(AH254="",AF254=""),"",AH254-AF254)</f>
        <v/>
      </c>
      <c r="AK254" s="44" t="str">
        <f aca="false">IF(OR(AF254="",AF254=0),"",AJ254/AF254)</f>
        <v/>
      </c>
      <c r="AL254" s="43" t="str">
        <f aca="false">IF(AJ254="","",AJ254-AM254)</f>
        <v/>
      </c>
      <c r="AM254" s="45" t="str">
        <f aca="false">IF(OR(AH254="",AF254=""),"",ROUND((AH254-AF254)/1.2*0.2,2))</f>
        <v/>
      </c>
      <c r="AN254" s="44" t="str">
        <f aca="false">IF(OR(AF254="",AF254=0),"",AL254/AF254)</f>
        <v/>
      </c>
      <c r="AO254" s="42"/>
      <c r="AP254" s="42"/>
      <c r="AQ254" s="42"/>
      <c r="AR254" s="46" t="str">
        <f aca="true">IF(OR(A254="",P254=""),"",IF(AO254&lt;&gt;"",AO254-P254,TODAY()-P254))</f>
        <v/>
      </c>
      <c r="AS254" s="42"/>
    </row>
    <row r="255" customFormat="false" ht="21.75" hidden="false" customHeight="true" outlineLevel="0" collapsed="false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8" t="str">
        <f aca="false">IF(A255="","",SUM(Y255:AE255))</f>
        <v/>
      </c>
      <c r="AG255" s="38" t="str">
        <f aca="false">IF(AF255="","",ROUND(AF255*1.2/100,0)*100)</f>
        <v/>
      </c>
      <c r="AH255" s="38"/>
      <c r="AI255" s="38" t="str">
        <f aca="false">IF(AF255="","",ROUND(AF255*1.05/100,0)*100)</f>
        <v/>
      </c>
      <c r="AJ255" s="38" t="str">
        <f aca="false">IF(OR(AH255="",AF255=""),"",AH255-AF255)</f>
        <v/>
      </c>
      <c r="AK255" s="39" t="str">
        <f aca="false">IF(OR(AF255="",AF255=0),"",AJ255/AF255)</f>
        <v/>
      </c>
      <c r="AL255" s="38" t="str">
        <f aca="false">IF(AJ255="","",AJ255-AM255)</f>
        <v/>
      </c>
      <c r="AM255" s="40" t="str">
        <f aca="false">IF(OR(AH255="",AF255=""),"",ROUND((AH255-AF255)/1.2*0.2,2))</f>
        <v/>
      </c>
      <c r="AN255" s="39" t="str">
        <f aca="false">IF(OR(AF255="",AF255=0),"",AL255/AF255)</f>
        <v/>
      </c>
      <c r="AO255" s="37"/>
      <c r="AP255" s="37"/>
      <c r="AQ255" s="37"/>
      <c r="AR255" s="41" t="str">
        <f aca="true">IF(OR(A255="",P255=""),"",IF(AO255&lt;&gt;"",AO255-P255,TODAY()-P255))</f>
        <v/>
      </c>
      <c r="AS255" s="37"/>
    </row>
    <row r="256" customFormat="false" ht="21.75" hidden="false" customHeight="true" outlineLevel="0" collapsed="false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3" t="str">
        <f aca="false">IF(A256="","",SUM(Y256:AE256))</f>
        <v/>
      </c>
      <c r="AG256" s="43" t="str">
        <f aca="false">IF(AF256="","",ROUND(AF256*1.2/100,0)*100)</f>
        <v/>
      </c>
      <c r="AH256" s="43"/>
      <c r="AI256" s="43" t="str">
        <f aca="false">IF(AF256="","",ROUND(AF256*1.05/100,0)*100)</f>
        <v/>
      </c>
      <c r="AJ256" s="43" t="str">
        <f aca="false">IF(OR(AH256="",AF256=""),"",AH256-AF256)</f>
        <v/>
      </c>
      <c r="AK256" s="44" t="str">
        <f aca="false">IF(OR(AF256="",AF256=0),"",AJ256/AF256)</f>
        <v/>
      </c>
      <c r="AL256" s="43" t="str">
        <f aca="false">IF(AJ256="","",AJ256-AM256)</f>
        <v/>
      </c>
      <c r="AM256" s="45" t="str">
        <f aca="false">IF(OR(AH256="",AF256=""),"",ROUND((AH256-AF256)/1.2*0.2,2))</f>
        <v/>
      </c>
      <c r="AN256" s="44" t="str">
        <f aca="false">IF(OR(AF256="",AF256=0),"",AL256/AF256)</f>
        <v/>
      </c>
      <c r="AO256" s="42"/>
      <c r="AP256" s="42"/>
      <c r="AQ256" s="42"/>
      <c r="AR256" s="46" t="str">
        <f aca="true">IF(OR(A256="",P256=""),"",IF(AO256&lt;&gt;"",AO256-P256,TODAY()-P256))</f>
        <v/>
      </c>
      <c r="AS256" s="42"/>
    </row>
    <row r="257" customFormat="false" ht="21.75" hidden="false" customHeight="true" outlineLevel="0" collapsed="false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8" t="str">
        <f aca="false">IF(A257="","",SUM(Y257:AE257))</f>
        <v/>
      </c>
      <c r="AG257" s="38" t="str">
        <f aca="false">IF(AF257="","",ROUND(AF257*1.2/100,0)*100)</f>
        <v/>
      </c>
      <c r="AH257" s="38"/>
      <c r="AI257" s="38" t="str">
        <f aca="false">IF(AF257="","",ROUND(AF257*1.05/100,0)*100)</f>
        <v/>
      </c>
      <c r="AJ257" s="38" t="str">
        <f aca="false">IF(OR(AH257="",AF257=""),"",AH257-AF257)</f>
        <v/>
      </c>
      <c r="AK257" s="39" t="str">
        <f aca="false">IF(OR(AF257="",AF257=0),"",AJ257/AF257)</f>
        <v/>
      </c>
      <c r="AL257" s="38" t="str">
        <f aca="false">IF(AJ257="","",AJ257-AM257)</f>
        <v/>
      </c>
      <c r="AM257" s="40" t="str">
        <f aca="false">IF(OR(AH257="",AF257=""),"",ROUND((AH257-AF257)/1.2*0.2,2))</f>
        <v/>
      </c>
      <c r="AN257" s="39" t="str">
        <f aca="false">IF(OR(AF257="",AF257=0),"",AL257/AF257)</f>
        <v/>
      </c>
      <c r="AO257" s="37"/>
      <c r="AP257" s="37"/>
      <c r="AQ257" s="37"/>
      <c r="AR257" s="41" t="str">
        <f aca="true">IF(OR(A257="",P257=""),"",IF(AO257&lt;&gt;"",AO257-P257,TODAY()-P257))</f>
        <v/>
      </c>
      <c r="AS257" s="37"/>
    </row>
    <row r="258" customFormat="false" ht="21.75" hidden="false" customHeight="true" outlineLevel="0" collapsed="false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3" t="str">
        <f aca="false">IF(A258="","",SUM(Y258:AE258))</f>
        <v/>
      </c>
      <c r="AG258" s="43" t="str">
        <f aca="false">IF(AF258="","",ROUND(AF258*1.2/100,0)*100)</f>
        <v/>
      </c>
      <c r="AH258" s="43"/>
      <c r="AI258" s="43" t="str">
        <f aca="false">IF(AF258="","",ROUND(AF258*1.05/100,0)*100)</f>
        <v/>
      </c>
      <c r="AJ258" s="43" t="str">
        <f aca="false">IF(OR(AH258="",AF258=""),"",AH258-AF258)</f>
        <v/>
      </c>
      <c r="AK258" s="44" t="str">
        <f aca="false">IF(OR(AF258="",AF258=0),"",AJ258/AF258)</f>
        <v/>
      </c>
      <c r="AL258" s="43" t="str">
        <f aca="false">IF(AJ258="","",AJ258-AM258)</f>
        <v/>
      </c>
      <c r="AM258" s="45" t="str">
        <f aca="false">IF(OR(AH258="",AF258=""),"",ROUND((AH258-AF258)/1.2*0.2,2))</f>
        <v/>
      </c>
      <c r="AN258" s="44" t="str">
        <f aca="false">IF(OR(AF258="",AF258=0),"",AL258/AF258)</f>
        <v/>
      </c>
      <c r="AO258" s="42"/>
      <c r="AP258" s="42"/>
      <c r="AQ258" s="42"/>
      <c r="AR258" s="46" t="str">
        <f aca="true">IF(OR(A258="",P258=""),"",IF(AO258&lt;&gt;"",AO258-P258,TODAY()-P258))</f>
        <v/>
      </c>
      <c r="AS258" s="42"/>
    </row>
    <row r="259" customFormat="false" ht="21.75" hidden="false" customHeight="true" outlineLevel="0" collapsed="false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8" t="str">
        <f aca="false">IF(A259="","",SUM(Y259:AE259))</f>
        <v/>
      </c>
      <c r="AG259" s="38" t="str">
        <f aca="false">IF(AF259="","",ROUND(AF259*1.2/100,0)*100)</f>
        <v/>
      </c>
      <c r="AH259" s="38"/>
      <c r="AI259" s="38" t="str">
        <f aca="false">IF(AF259="","",ROUND(AF259*1.05/100,0)*100)</f>
        <v/>
      </c>
      <c r="AJ259" s="38" t="str">
        <f aca="false">IF(OR(AH259="",AF259=""),"",AH259-AF259)</f>
        <v/>
      </c>
      <c r="AK259" s="39" t="str">
        <f aca="false">IF(OR(AF259="",AF259=0),"",AJ259/AF259)</f>
        <v/>
      </c>
      <c r="AL259" s="38" t="str">
        <f aca="false">IF(AJ259="","",AJ259-AM259)</f>
        <v/>
      </c>
      <c r="AM259" s="40" t="str">
        <f aca="false">IF(OR(AH259="",AF259=""),"",ROUND((AH259-AF259)/1.2*0.2,2))</f>
        <v/>
      </c>
      <c r="AN259" s="39" t="str">
        <f aca="false">IF(OR(AF259="",AF259=0),"",AL259/AF259)</f>
        <v/>
      </c>
      <c r="AO259" s="37"/>
      <c r="AP259" s="37"/>
      <c r="AQ259" s="37"/>
      <c r="AR259" s="41" t="str">
        <f aca="true">IF(OR(A259="",P259=""),"",IF(AO259&lt;&gt;"",AO259-P259,TODAY()-P259))</f>
        <v/>
      </c>
      <c r="AS259" s="37"/>
    </row>
    <row r="260" customFormat="false" ht="21.75" hidden="false" customHeight="true" outlineLevel="0" collapsed="false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3" t="str">
        <f aca="false">IF(A260="","",SUM(Y260:AE260))</f>
        <v/>
      </c>
      <c r="AG260" s="43" t="str">
        <f aca="false">IF(AF260="","",ROUND(AF260*1.2/100,0)*100)</f>
        <v/>
      </c>
      <c r="AH260" s="43"/>
      <c r="AI260" s="43" t="str">
        <f aca="false">IF(AF260="","",ROUND(AF260*1.05/100,0)*100)</f>
        <v/>
      </c>
      <c r="AJ260" s="43" t="str">
        <f aca="false">IF(OR(AH260="",AF260=""),"",AH260-AF260)</f>
        <v/>
      </c>
      <c r="AK260" s="44" t="str">
        <f aca="false">IF(OR(AF260="",AF260=0),"",AJ260/AF260)</f>
        <v/>
      </c>
      <c r="AL260" s="43" t="str">
        <f aca="false">IF(AJ260="","",AJ260-AM260)</f>
        <v/>
      </c>
      <c r="AM260" s="45" t="str">
        <f aca="false">IF(OR(AH260="",AF260=""),"",ROUND((AH260-AF260)/1.2*0.2,2))</f>
        <v/>
      </c>
      <c r="AN260" s="44" t="str">
        <f aca="false">IF(OR(AF260="",AF260=0),"",AL260/AF260)</f>
        <v/>
      </c>
      <c r="AO260" s="42"/>
      <c r="AP260" s="42"/>
      <c r="AQ260" s="42"/>
      <c r="AR260" s="46" t="str">
        <f aca="true">IF(OR(A260="",P260=""),"",IF(AO260&lt;&gt;"",AO260-P260,TODAY()-P260))</f>
        <v/>
      </c>
      <c r="AS260" s="42"/>
    </row>
    <row r="261" customFormat="false" ht="21.75" hidden="false" customHeight="true" outlineLevel="0" collapsed="false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8" t="str">
        <f aca="false">IF(A261="","",SUM(Y261:AE261))</f>
        <v/>
      </c>
      <c r="AG261" s="38" t="str">
        <f aca="false">IF(AF261="","",ROUND(AF261*1.2/100,0)*100)</f>
        <v/>
      </c>
      <c r="AH261" s="38"/>
      <c r="AI261" s="38" t="str">
        <f aca="false">IF(AF261="","",ROUND(AF261*1.05/100,0)*100)</f>
        <v/>
      </c>
      <c r="AJ261" s="38" t="str">
        <f aca="false">IF(OR(AH261="",AF261=""),"",AH261-AF261)</f>
        <v/>
      </c>
      <c r="AK261" s="39" t="str">
        <f aca="false">IF(OR(AF261="",AF261=0),"",AJ261/AF261)</f>
        <v/>
      </c>
      <c r="AL261" s="38" t="str">
        <f aca="false">IF(AJ261="","",AJ261-AM261)</f>
        <v/>
      </c>
      <c r="AM261" s="40" t="str">
        <f aca="false">IF(OR(AH261="",AF261=""),"",ROUND((AH261-AF261)/1.2*0.2,2))</f>
        <v/>
      </c>
      <c r="AN261" s="39" t="str">
        <f aca="false">IF(OR(AF261="",AF261=0),"",AL261/AF261)</f>
        <v/>
      </c>
      <c r="AO261" s="37"/>
      <c r="AP261" s="37"/>
      <c r="AQ261" s="37"/>
      <c r="AR261" s="41" t="str">
        <f aca="true">IF(OR(A261="",P261=""),"",IF(AO261&lt;&gt;"",AO261-P261,TODAY()-P261))</f>
        <v/>
      </c>
      <c r="AS261" s="37"/>
    </row>
    <row r="262" customFormat="false" ht="21.75" hidden="false" customHeight="true" outlineLevel="0" collapsed="false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3" t="str">
        <f aca="false">IF(A262="","",SUM(Y262:AE262))</f>
        <v/>
      </c>
      <c r="AG262" s="43" t="str">
        <f aca="false">IF(AF262="","",ROUND(AF262*1.2/100,0)*100)</f>
        <v/>
      </c>
      <c r="AH262" s="43"/>
      <c r="AI262" s="43" t="str">
        <f aca="false">IF(AF262="","",ROUND(AF262*1.05/100,0)*100)</f>
        <v/>
      </c>
      <c r="AJ262" s="43" t="str">
        <f aca="false">IF(OR(AH262="",AF262=""),"",AH262-AF262)</f>
        <v/>
      </c>
      <c r="AK262" s="44" t="str">
        <f aca="false">IF(OR(AF262="",AF262=0),"",AJ262/AF262)</f>
        <v/>
      </c>
      <c r="AL262" s="43" t="str">
        <f aca="false">IF(AJ262="","",AJ262-AM262)</f>
        <v/>
      </c>
      <c r="AM262" s="45" t="str">
        <f aca="false">IF(OR(AH262="",AF262=""),"",ROUND((AH262-AF262)/1.2*0.2,2))</f>
        <v/>
      </c>
      <c r="AN262" s="44" t="str">
        <f aca="false">IF(OR(AF262="",AF262=0),"",AL262/AF262)</f>
        <v/>
      </c>
      <c r="AO262" s="42"/>
      <c r="AP262" s="42"/>
      <c r="AQ262" s="42"/>
      <c r="AR262" s="46" t="str">
        <f aca="true">IF(OR(A262="",P262=""),"",IF(AO262&lt;&gt;"",AO262-P262,TODAY()-P262))</f>
        <v/>
      </c>
      <c r="AS262" s="42"/>
    </row>
    <row r="263" customFormat="false" ht="21.75" hidden="false" customHeight="true" outlineLevel="0" collapsed="false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8" t="str">
        <f aca="false">IF(A263="","",SUM(Y263:AE263))</f>
        <v/>
      </c>
      <c r="AG263" s="38" t="str">
        <f aca="false">IF(AF263="","",ROUND(AF263*1.2/100,0)*100)</f>
        <v/>
      </c>
      <c r="AH263" s="38"/>
      <c r="AI263" s="38" t="str">
        <f aca="false">IF(AF263="","",ROUND(AF263*1.05/100,0)*100)</f>
        <v/>
      </c>
      <c r="AJ263" s="38" t="str">
        <f aca="false">IF(OR(AH263="",AF263=""),"",AH263-AF263)</f>
        <v/>
      </c>
      <c r="AK263" s="39" t="str">
        <f aca="false">IF(OR(AF263="",AF263=0),"",AJ263/AF263)</f>
        <v/>
      </c>
      <c r="AL263" s="38" t="str">
        <f aca="false">IF(AJ263="","",AJ263-AM263)</f>
        <v/>
      </c>
      <c r="AM263" s="40" t="str">
        <f aca="false">IF(OR(AH263="",AF263=""),"",ROUND((AH263-AF263)/1.2*0.2,2))</f>
        <v/>
      </c>
      <c r="AN263" s="39" t="str">
        <f aca="false">IF(OR(AF263="",AF263=0),"",AL263/AF263)</f>
        <v/>
      </c>
      <c r="AO263" s="37"/>
      <c r="AP263" s="37"/>
      <c r="AQ263" s="37"/>
      <c r="AR263" s="41" t="str">
        <f aca="true">IF(OR(A263="",P263=""),"",IF(AO263&lt;&gt;"",AO263-P263,TODAY()-P263))</f>
        <v/>
      </c>
      <c r="AS263" s="37"/>
    </row>
    <row r="264" customFormat="false" ht="21.75" hidden="false" customHeight="true" outlineLevel="0" collapsed="false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3" t="str">
        <f aca="false">IF(A264="","",SUM(Y264:AE264))</f>
        <v/>
      </c>
      <c r="AG264" s="43" t="str">
        <f aca="false">IF(AF264="","",ROUND(AF264*1.2/100,0)*100)</f>
        <v/>
      </c>
      <c r="AH264" s="43"/>
      <c r="AI264" s="43" t="str">
        <f aca="false">IF(AF264="","",ROUND(AF264*1.05/100,0)*100)</f>
        <v/>
      </c>
      <c r="AJ264" s="43" t="str">
        <f aca="false">IF(OR(AH264="",AF264=""),"",AH264-AF264)</f>
        <v/>
      </c>
      <c r="AK264" s="44" t="str">
        <f aca="false">IF(OR(AF264="",AF264=0),"",AJ264/AF264)</f>
        <v/>
      </c>
      <c r="AL264" s="43" t="str">
        <f aca="false">IF(AJ264="","",AJ264-AM264)</f>
        <v/>
      </c>
      <c r="AM264" s="45" t="str">
        <f aca="false">IF(OR(AH264="",AF264=""),"",ROUND((AH264-AF264)/1.2*0.2,2))</f>
        <v/>
      </c>
      <c r="AN264" s="44" t="str">
        <f aca="false">IF(OR(AF264="",AF264=0),"",AL264/AF264)</f>
        <v/>
      </c>
      <c r="AO264" s="42"/>
      <c r="AP264" s="42"/>
      <c r="AQ264" s="42"/>
      <c r="AR264" s="46" t="str">
        <f aca="true">IF(OR(A264="",P264=""),"",IF(AO264&lt;&gt;"",AO264-P264,TODAY()-P264))</f>
        <v/>
      </c>
      <c r="AS264" s="42"/>
    </row>
    <row r="265" customFormat="false" ht="21.75" hidden="false" customHeight="true" outlineLevel="0" collapsed="false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8" t="str">
        <f aca="false">IF(A265="","",SUM(Y265:AE265))</f>
        <v/>
      </c>
      <c r="AG265" s="38" t="str">
        <f aca="false">IF(AF265="","",ROUND(AF265*1.2/100,0)*100)</f>
        <v/>
      </c>
      <c r="AH265" s="38"/>
      <c r="AI265" s="38" t="str">
        <f aca="false">IF(AF265="","",ROUND(AF265*1.05/100,0)*100)</f>
        <v/>
      </c>
      <c r="AJ265" s="38" t="str">
        <f aca="false">IF(OR(AH265="",AF265=""),"",AH265-AF265)</f>
        <v/>
      </c>
      <c r="AK265" s="39" t="str">
        <f aca="false">IF(OR(AF265="",AF265=0),"",AJ265/AF265)</f>
        <v/>
      </c>
      <c r="AL265" s="38" t="str">
        <f aca="false">IF(AJ265="","",AJ265-AM265)</f>
        <v/>
      </c>
      <c r="AM265" s="40" t="str">
        <f aca="false">IF(OR(AH265="",AF265=""),"",ROUND((AH265-AF265)/1.2*0.2,2))</f>
        <v/>
      </c>
      <c r="AN265" s="39" t="str">
        <f aca="false">IF(OR(AF265="",AF265=0),"",AL265/AF265)</f>
        <v/>
      </c>
      <c r="AO265" s="37"/>
      <c r="AP265" s="37"/>
      <c r="AQ265" s="37"/>
      <c r="AR265" s="41" t="str">
        <f aca="true">IF(OR(A265="",P265=""),"",IF(AO265&lt;&gt;"",AO265-P265,TODAY()-P265))</f>
        <v/>
      </c>
      <c r="AS265" s="37"/>
    </row>
    <row r="266" customFormat="false" ht="21.75" hidden="false" customHeight="true" outlineLevel="0" collapsed="false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3" t="str">
        <f aca="false">IF(A266="","",SUM(Y266:AE266))</f>
        <v/>
      </c>
      <c r="AG266" s="43" t="str">
        <f aca="false">IF(AF266="","",ROUND(AF266*1.2/100,0)*100)</f>
        <v/>
      </c>
      <c r="AH266" s="43"/>
      <c r="AI266" s="43" t="str">
        <f aca="false">IF(AF266="","",ROUND(AF266*1.05/100,0)*100)</f>
        <v/>
      </c>
      <c r="AJ266" s="43" t="str">
        <f aca="false">IF(OR(AH266="",AF266=""),"",AH266-AF266)</f>
        <v/>
      </c>
      <c r="AK266" s="44" t="str">
        <f aca="false">IF(OR(AF266="",AF266=0),"",AJ266/AF266)</f>
        <v/>
      </c>
      <c r="AL266" s="43" t="str">
        <f aca="false">IF(AJ266="","",AJ266-AM266)</f>
        <v/>
      </c>
      <c r="AM266" s="45" t="str">
        <f aca="false">IF(OR(AH266="",AF266=""),"",ROUND((AH266-AF266)/1.2*0.2,2))</f>
        <v/>
      </c>
      <c r="AN266" s="44" t="str">
        <f aca="false">IF(OR(AF266="",AF266=0),"",AL266/AF266)</f>
        <v/>
      </c>
      <c r="AO266" s="42"/>
      <c r="AP266" s="42"/>
      <c r="AQ266" s="42"/>
      <c r="AR266" s="46" t="str">
        <f aca="true">IF(OR(A266="",P266=""),"",IF(AO266&lt;&gt;"",AO266-P266,TODAY()-P266))</f>
        <v/>
      </c>
      <c r="AS266" s="42"/>
    </row>
    <row r="267" customFormat="false" ht="21.75" hidden="false" customHeight="true" outlineLevel="0" collapsed="false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8" t="str">
        <f aca="false">IF(A267="","",SUM(Y267:AE267))</f>
        <v/>
      </c>
      <c r="AG267" s="38" t="str">
        <f aca="false">IF(AF267="","",ROUND(AF267*1.2/100,0)*100)</f>
        <v/>
      </c>
      <c r="AH267" s="38"/>
      <c r="AI267" s="38" t="str">
        <f aca="false">IF(AF267="","",ROUND(AF267*1.05/100,0)*100)</f>
        <v/>
      </c>
      <c r="AJ267" s="38" t="str">
        <f aca="false">IF(OR(AH267="",AF267=""),"",AH267-AF267)</f>
        <v/>
      </c>
      <c r="AK267" s="39" t="str">
        <f aca="false">IF(OR(AF267="",AF267=0),"",AJ267/AF267)</f>
        <v/>
      </c>
      <c r="AL267" s="38" t="str">
        <f aca="false">IF(AJ267="","",AJ267-AM267)</f>
        <v/>
      </c>
      <c r="AM267" s="40" t="str">
        <f aca="false">IF(OR(AH267="",AF267=""),"",ROUND((AH267-AF267)/1.2*0.2,2))</f>
        <v/>
      </c>
      <c r="AN267" s="39" t="str">
        <f aca="false">IF(OR(AF267="",AF267=0),"",AL267/AF267)</f>
        <v/>
      </c>
      <c r="AO267" s="37"/>
      <c r="AP267" s="37"/>
      <c r="AQ267" s="37"/>
      <c r="AR267" s="41" t="str">
        <f aca="true">IF(OR(A267="",P267=""),"",IF(AO267&lt;&gt;"",AO267-P267,TODAY()-P267))</f>
        <v/>
      </c>
      <c r="AS267" s="37"/>
    </row>
    <row r="268" customFormat="false" ht="21.75" hidden="false" customHeight="true" outlineLevel="0" collapsed="false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3" t="str">
        <f aca="false">IF(A268="","",SUM(Y268:AE268))</f>
        <v/>
      </c>
      <c r="AG268" s="43" t="str">
        <f aca="false">IF(AF268="","",ROUND(AF268*1.2/100,0)*100)</f>
        <v/>
      </c>
      <c r="AH268" s="43"/>
      <c r="AI268" s="43" t="str">
        <f aca="false">IF(AF268="","",ROUND(AF268*1.05/100,0)*100)</f>
        <v/>
      </c>
      <c r="AJ268" s="43" t="str">
        <f aca="false">IF(OR(AH268="",AF268=""),"",AH268-AF268)</f>
        <v/>
      </c>
      <c r="AK268" s="44" t="str">
        <f aca="false">IF(OR(AF268="",AF268=0),"",AJ268/AF268)</f>
        <v/>
      </c>
      <c r="AL268" s="43" t="str">
        <f aca="false">IF(AJ268="","",AJ268-AM268)</f>
        <v/>
      </c>
      <c r="AM268" s="45" t="str">
        <f aca="false">IF(OR(AH268="",AF268=""),"",ROUND((AH268-AF268)/1.2*0.2,2))</f>
        <v/>
      </c>
      <c r="AN268" s="44" t="str">
        <f aca="false">IF(OR(AF268="",AF268=0),"",AL268/AF268)</f>
        <v/>
      </c>
      <c r="AO268" s="42"/>
      <c r="AP268" s="42"/>
      <c r="AQ268" s="42"/>
      <c r="AR268" s="46" t="str">
        <f aca="true">IF(OR(A268="",P268=""),"",IF(AO268&lt;&gt;"",AO268-P268,TODAY()-P268))</f>
        <v/>
      </c>
      <c r="AS268" s="42"/>
    </row>
    <row r="269" customFormat="false" ht="21.75" hidden="false" customHeight="true" outlineLevel="0" collapsed="false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8" t="str">
        <f aca="false">IF(A269="","",SUM(Y269:AE269))</f>
        <v/>
      </c>
      <c r="AG269" s="38" t="str">
        <f aca="false">IF(AF269="","",ROUND(AF269*1.2/100,0)*100)</f>
        <v/>
      </c>
      <c r="AH269" s="38"/>
      <c r="AI269" s="38" t="str">
        <f aca="false">IF(AF269="","",ROUND(AF269*1.05/100,0)*100)</f>
        <v/>
      </c>
      <c r="AJ269" s="38" t="str">
        <f aca="false">IF(OR(AH269="",AF269=""),"",AH269-AF269)</f>
        <v/>
      </c>
      <c r="AK269" s="39" t="str">
        <f aca="false">IF(OR(AF269="",AF269=0),"",AJ269/AF269)</f>
        <v/>
      </c>
      <c r="AL269" s="38" t="str">
        <f aca="false">IF(AJ269="","",AJ269-AM269)</f>
        <v/>
      </c>
      <c r="AM269" s="40" t="str">
        <f aca="false">IF(OR(AH269="",AF269=""),"",ROUND((AH269-AF269)/1.2*0.2,2))</f>
        <v/>
      </c>
      <c r="AN269" s="39" t="str">
        <f aca="false">IF(OR(AF269="",AF269=0),"",AL269/AF269)</f>
        <v/>
      </c>
      <c r="AO269" s="37"/>
      <c r="AP269" s="37"/>
      <c r="AQ269" s="37"/>
      <c r="AR269" s="41" t="str">
        <f aca="true">IF(OR(A269="",P269=""),"",IF(AO269&lt;&gt;"",AO269-P269,TODAY()-P269))</f>
        <v/>
      </c>
      <c r="AS269" s="37"/>
    </row>
    <row r="270" customFormat="false" ht="21.75" hidden="false" customHeight="true" outlineLevel="0" collapsed="false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3" t="str">
        <f aca="false">IF(A270="","",SUM(Y270:AE270))</f>
        <v/>
      </c>
      <c r="AG270" s="43" t="str">
        <f aca="false">IF(AF270="","",ROUND(AF270*1.2/100,0)*100)</f>
        <v/>
      </c>
      <c r="AH270" s="43"/>
      <c r="AI270" s="43" t="str">
        <f aca="false">IF(AF270="","",ROUND(AF270*1.05/100,0)*100)</f>
        <v/>
      </c>
      <c r="AJ270" s="43" t="str">
        <f aca="false">IF(OR(AH270="",AF270=""),"",AH270-AF270)</f>
        <v/>
      </c>
      <c r="AK270" s="44" t="str">
        <f aca="false">IF(OR(AF270="",AF270=0),"",AJ270/AF270)</f>
        <v/>
      </c>
      <c r="AL270" s="43" t="str">
        <f aca="false">IF(AJ270="","",AJ270-AM270)</f>
        <v/>
      </c>
      <c r="AM270" s="45" t="str">
        <f aca="false">IF(OR(AH270="",AF270=""),"",ROUND((AH270-AF270)/1.2*0.2,2))</f>
        <v/>
      </c>
      <c r="AN270" s="44" t="str">
        <f aca="false">IF(OR(AF270="",AF270=0),"",AL270/AF270)</f>
        <v/>
      </c>
      <c r="AO270" s="42"/>
      <c r="AP270" s="42"/>
      <c r="AQ270" s="42"/>
      <c r="AR270" s="46" t="str">
        <f aca="true">IF(OR(A270="",P270=""),"",IF(AO270&lt;&gt;"",AO270-P270,TODAY()-P270))</f>
        <v/>
      </c>
      <c r="AS270" s="42"/>
    </row>
    <row r="271" customFormat="false" ht="21.75" hidden="false" customHeight="true" outlineLevel="0" collapsed="false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8" t="str">
        <f aca="false">IF(A271="","",SUM(Y271:AE271))</f>
        <v/>
      </c>
      <c r="AG271" s="38" t="str">
        <f aca="false">IF(AF271="","",ROUND(AF271*1.2/100,0)*100)</f>
        <v/>
      </c>
      <c r="AH271" s="38"/>
      <c r="AI271" s="38" t="str">
        <f aca="false">IF(AF271="","",ROUND(AF271*1.05/100,0)*100)</f>
        <v/>
      </c>
      <c r="AJ271" s="38" t="str">
        <f aca="false">IF(OR(AH271="",AF271=""),"",AH271-AF271)</f>
        <v/>
      </c>
      <c r="AK271" s="39" t="str">
        <f aca="false">IF(OR(AF271="",AF271=0),"",AJ271/AF271)</f>
        <v/>
      </c>
      <c r="AL271" s="38" t="str">
        <f aca="false">IF(AJ271="","",AJ271-AM271)</f>
        <v/>
      </c>
      <c r="AM271" s="40" t="str">
        <f aca="false">IF(OR(AH271="",AF271=""),"",ROUND((AH271-AF271)/1.2*0.2,2))</f>
        <v/>
      </c>
      <c r="AN271" s="39" t="str">
        <f aca="false">IF(OR(AF271="",AF271=0),"",AL271/AF271)</f>
        <v/>
      </c>
      <c r="AO271" s="37"/>
      <c r="AP271" s="37"/>
      <c r="AQ271" s="37"/>
      <c r="AR271" s="41" t="str">
        <f aca="true">IF(OR(A271="",P271=""),"",IF(AO271&lt;&gt;"",AO271-P271,TODAY()-P271))</f>
        <v/>
      </c>
      <c r="AS271" s="37"/>
    </row>
    <row r="272" customFormat="false" ht="21.75" hidden="false" customHeight="true" outlineLevel="0" collapsed="false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3" t="str">
        <f aca="false">IF(A272="","",SUM(Y272:AE272))</f>
        <v/>
      </c>
      <c r="AG272" s="43" t="str">
        <f aca="false">IF(AF272="","",ROUND(AF272*1.2/100,0)*100)</f>
        <v/>
      </c>
      <c r="AH272" s="43"/>
      <c r="AI272" s="43" t="str">
        <f aca="false">IF(AF272="","",ROUND(AF272*1.05/100,0)*100)</f>
        <v/>
      </c>
      <c r="AJ272" s="43" t="str">
        <f aca="false">IF(OR(AH272="",AF272=""),"",AH272-AF272)</f>
        <v/>
      </c>
      <c r="AK272" s="44" t="str">
        <f aca="false">IF(OR(AF272="",AF272=0),"",AJ272/AF272)</f>
        <v/>
      </c>
      <c r="AL272" s="43" t="str">
        <f aca="false">IF(AJ272="","",AJ272-AM272)</f>
        <v/>
      </c>
      <c r="AM272" s="45" t="str">
        <f aca="false">IF(OR(AH272="",AF272=""),"",ROUND((AH272-AF272)/1.2*0.2,2))</f>
        <v/>
      </c>
      <c r="AN272" s="44" t="str">
        <f aca="false">IF(OR(AF272="",AF272=0),"",AL272/AF272)</f>
        <v/>
      </c>
      <c r="AO272" s="42"/>
      <c r="AP272" s="42"/>
      <c r="AQ272" s="42"/>
      <c r="AR272" s="46" t="str">
        <f aca="true">IF(OR(A272="",P272=""),"",IF(AO272&lt;&gt;"",AO272-P272,TODAY()-P272))</f>
        <v/>
      </c>
      <c r="AS272" s="42"/>
    </row>
    <row r="273" customFormat="false" ht="21.75" hidden="false" customHeight="true" outlineLevel="0" collapsed="false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8" t="str">
        <f aca="false">IF(A273="","",SUM(Y273:AE273))</f>
        <v/>
      </c>
      <c r="AG273" s="38" t="str">
        <f aca="false">IF(AF273="","",ROUND(AF273*1.2/100,0)*100)</f>
        <v/>
      </c>
      <c r="AH273" s="38"/>
      <c r="AI273" s="38" t="str">
        <f aca="false">IF(AF273="","",ROUND(AF273*1.05/100,0)*100)</f>
        <v/>
      </c>
      <c r="AJ273" s="38" t="str">
        <f aca="false">IF(OR(AH273="",AF273=""),"",AH273-AF273)</f>
        <v/>
      </c>
      <c r="AK273" s="39" t="str">
        <f aca="false">IF(OR(AF273="",AF273=0),"",AJ273/AF273)</f>
        <v/>
      </c>
      <c r="AL273" s="38" t="str">
        <f aca="false">IF(AJ273="","",AJ273-AM273)</f>
        <v/>
      </c>
      <c r="AM273" s="40" t="str">
        <f aca="false">IF(OR(AH273="",AF273=""),"",ROUND((AH273-AF273)/1.2*0.2,2))</f>
        <v/>
      </c>
      <c r="AN273" s="39" t="str">
        <f aca="false">IF(OR(AF273="",AF273=0),"",AL273/AF273)</f>
        <v/>
      </c>
      <c r="AO273" s="37"/>
      <c r="AP273" s="37"/>
      <c r="AQ273" s="37"/>
      <c r="AR273" s="41" t="str">
        <f aca="true">IF(OR(A273="",P273=""),"",IF(AO273&lt;&gt;"",AO273-P273,TODAY()-P273))</f>
        <v/>
      </c>
      <c r="AS273" s="37"/>
    </row>
    <row r="274" customFormat="false" ht="21.75" hidden="false" customHeight="true" outlineLevel="0" collapsed="false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3" t="str">
        <f aca="false">IF(A274="","",SUM(Y274:AE274))</f>
        <v/>
      </c>
      <c r="AG274" s="43" t="str">
        <f aca="false">IF(AF274="","",ROUND(AF274*1.2/100,0)*100)</f>
        <v/>
      </c>
      <c r="AH274" s="43"/>
      <c r="AI274" s="43" t="str">
        <f aca="false">IF(AF274="","",ROUND(AF274*1.05/100,0)*100)</f>
        <v/>
      </c>
      <c r="AJ274" s="43" t="str">
        <f aca="false">IF(OR(AH274="",AF274=""),"",AH274-AF274)</f>
        <v/>
      </c>
      <c r="AK274" s="44" t="str">
        <f aca="false">IF(OR(AF274="",AF274=0),"",AJ274/AF274)</f>
        <v/>
      </c>
      <c r="AL274" s="43" t="str">
        <f aca="false">IF(AJ274="","",AJ274-AM274)</f>
        <v/>
      </c>
      <c r="AM274" s="45" t="str">
        <f aca="false">IF(OR(AH274="",AF274=""),"",ROUND((AH274-AF274)/1.2*0.2,2))</f>
        <v/>
      </c>
      <c r="AN274" s="44" t="str">
        <f aca="false">IF(OR(AF274="",AF274=0),"",AL274/AF274)</f>
        <v/>
      </c>
      <c r="AO274" s="42"/>
      <c r="AP274" s="42"/>
      <c r="AQ274" s="42"/>
      <c r="AR274" s="46" t="str">
        <f aca="true">IF(OR(A274="",P274=""),"",IF(AO274&lt;&gt;"",AO274-P274,TODAY()-P274))</f>
        <v/>
      </c>
      <c r="AS274" s="42"/>
    </row>
    <row r="275" customFormat="false" ht="21.75" hidden="false" customHeight="true" outlineLevel="0" collapsed="false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8" t="str">
        <f aca="false">IF(A275="","",SUM(Y275:AE275))</f>
        <v/>
      </c>
      <c r="AG275" s="38" t="str">
        <f aca="false">IF(AF275="","",ROUND(AF275*1.2/100,0)*100)</f>
        <v/>
      </c>
      <c r="AH275" s="38"/>
      <c r="AI275" s="38" t="str">
        <f aca="false">IF(AF275="","",ROUND(AF275*1.05/100,0)*100)</f>
        <v/>
      </c>
      <c r="AJ275" s="38" t="str">
        <f aca="false">IF(OR(AH275="",AF275=""),"",AH275-AF275)</f>
        <v/>
      </c>
      <c r="AK275" s="39" t="str">
        <f aca="false">IF(OR(AF275="",AF275=0),"",AJ275/AF275)</f>
        <v/>
      </c>
      <c r="AL275" s="38" t="str">
        <f aca="false">IF(AJ275="","",AJ275-AM275)</f>
        <v/>
      </c>
      <c r="AM275" s="40" t="str">
        <f aca="false">IF(OR(AH275="",AF275=""),"",ROUND((AH275-AF275)/1.2*0.2,2))</f>
        <v/>
      </c>
      <c r="AN275" s="39" t="str">
        <f aca="false">IF(OR(AF275="",AF275=0),"",AL275/AF275)</f>
        <v/>
      </c>
      <c r="AO275" s="37"/>
      <c r="AP275" s="37"/>
      <c r="AQ275" s="37"/>
      <c r="AR275" s="41" t="str">
        <f aca="true">IF(OR(A275="",P275=""),"",IF(AO275&lt;&gt;"",AO275-P275,TODAY()-P275))</f>
        <v/>
      </c>
      <c r="AS275" s="37"/>
    </row>
    <row r="276" customFormat="false" ht="21.75" hidden="false" customHeight="true" outlineLevel="0" collapsed="false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3" t="str">
        <f aca="false">IF(A276="","",SUM(Y276:AE276))</f>
        <v/>
      </c>
      <c r="AG276" s="43" t="str">
        <f aca="false">IF(AF276="","",ROUND(AF276*1.2/100,0)*100)</f>
        <v/>
      </c>
      <c r="AH276" s="43"/>
      <c r="AI276" s="43" t="str">
        <f aca="false">IF(AF276="","",ROUND(AF276*1.05/100,0)*100)</f>
        <v/>
      </c>
      <c r="AJ276" s="43" t="str">
        <f aca="false">IF(OR(AH276="",AF276=""),"",AH276-AF276)</f>
        <v/>
      </c>
      <c r="AK276" s="44" t="str">
        <f aca="false">IF(OR(AF276="",AF276=0),"",AJ276/AF276)</f>
        <v/>
      </c>
      <c r="AL276" s="43" t="str">
        <f aca="false">IF(AJ276="","",AJ276-AM276)</f>
        <v/>
      </c>
      <c r="AM276" s="45" t="str">
        <f aca="false">IF(OR(AH276="",AF276=""),"",ROUND((AH276-AF276)/1.2*0.2,2))</f>
        <v/>
      </c>
      <c r="AN276" s="44" t="str">
        <f aca="false">IF(OR(AF276="",AF276=0),"",AL276/AF276)</f>
        <v/>
      </c>
      <c r="AO276" s="42"/>
      <c r="AP276" s="42"/>
      <c r="AQ276" s="42"/>
      <c r="AR276" s="46" t="str">
        <f aca="true">IF(OR(A276="",P276=""),"",IF(AO276&lt;&gt;"",AO276-P276,TODAY()-P276))</f>
        <v/>
      </c>
      <c r="AS276" s="42"/>
    </row>
    <row r="277" customFormat="false" ht="21.75" hidden="false" customHeight="true" outlineLevel="0" collapsed="false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8" t="str">
        <f aca="false">IF(A277="","",SUM(Y277:AE277))</f>
        <v/>
      </c>
      <c r="AG277" s="38" t="str">
        <f aca="false">IF(AF277="","",ROUND(AF277*1.2/100,0)*100)</f>
        <v/>
      </c>
      <c r="AH277" s="38"/>
      <c r="AI277" s="38" t="str">
        <f aca="false">IF(AF277="","",ROUND(AF277*1.05/100,0)*100)</f>
        <v/>
      </c>
      <c r="AJ277" s="38" t="str">
        <f aca="false">IF(OR(AH277="",AF277=""),"",AH277-AF277)</f>
        <v/>
      </c>
      <c r="AK277" s="39" t="str">
        <f aca="false">IF(OR(AF277="",AF277=0),"",AJ277/AF277)</f>
        <v/>
      </c>
      <c r="AL277" s="38" t="str">
        <f aca="false">IF(AJ277="","",AJ277-AM277)</f>
        <v/>
      </c>
      <c r="AM277" s="40" t="str">
        <f aca="false">IF(OR(AH277="",AF277=""),"",ROUND((AH277-AF277)/1.2*0.2,2))</f>
        <v/>
      </c>
      <c r="AN277" s="39" t="str">
        <f aca="false">IF(OR(AF277="",AF277=0),"",AL277/AF277)</f>
        <v/>
      </c>
      <c r="AO277" s="37"/>
      <c r="AP277" s="37"/>
      <c r="AQ277" s="37"/>
      <c r="AR277" s="41" t="str">
        <f aca="true">IF(OR(A277="",P277=""),"",IF(AO277&lt;&gt;"",AO277-P277,TODAY()-P277))</f>
        <v/>
      </c>
      <c r="AS277" s="37"/>
    </row>
    <row r="278" customFormat="false" ht="21.75" hidden="false" customHeight="true" outlineLevel="0" collapsed="false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3" t="str">
        <f aca="false">IF(A278="","",SUM(Y278:AE278))</f>
        <v/>
      </c>
      <c r="AG278" s="43" t="str">
        <f aca="false">IF(AF278="","",ROUND(AF278*1.2/100,0)*100)</f>
        <v/>
      </c>
      <c r="AH278" s="43"/>
      <c r="AI278" s="43" t="str">
        <f aca="false">IF(AF278="","",ROUND(AF278*1.05/100,0)*100)</f>
        <v/>
      </c>
      <c r="AJ278" s="43" t="str">
        <f aca="false">IF(OR(AH278="",AF278=""),"",AH278-AF278)</f>
        <v/>
      </c>
      <c r="AK278" s="44" t="str">
        <f aca="false">IF(OR(AF278="",AF278=0),"",AJ278/AF278)</f>
        <v/>
      </c>
      <c r="AL278" s="43" t="str">
        <f aca="false">IF(AJ278="","",AJ278-AM278)</f>
        <v/>
      </c>
      <c r="AM278" s="45" t="str">
        <f aca="false">IF(OR(AH278="",AF278=""),"",ROUND((AH278-AF278)/1.2*0.2,2))</f>
        <v/>
      </c>
      <c r="AN278" s="44" t="str">
        <f aca="false">IF(OR(AF278="",AF278=0),"",AL278/AF278)</f>
        <v/>
      </c>
      <c r="AO278" s="42"/>
      <c r="AP278" s="42"/>
      <c r="AQ278" s="42"/>
      <c r="AR278" s="46" t="str">
        <f aca="true">IF(OR(A278="",P278=""),"",IF(AO278&lt;&gt;"",AO278-P278,TODAY()-P278))</f>
        <v/>
      </c>
      <c r="AS278" s="42"/>
    </row>
    <row r="279" customFormat="false" ht="21.75" hidden="false" customHeight="true" outlineLevel="0" collapsed="false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8" t="str">
        <f aca="false">IF(A279="","",SUM(Y279:AE279))</f>
        <v/>
      </c>
      <c r="AG279" s="38" t="str">
        <f aca="false">IF(AF279="","",ROUND(AF279*1.2/100,0)*100)</f>
        <v/>
      </c>
      <c r="AH279" s="38"/>
      <c r="AI279" s="38" t="str">
        <f aca="false">IF(AF279="","",ROUND(AF279*1.05/100,0)*100)</f>
        <v/>
      </c>
      <c r="AJ279" s="38" t="str">
        <f aca="false">IF(OR(AH279="",AF279=""),"",AH279-AF279)</f>
        <v/>
      </c>
      <c r="AK279" s="39" t="str">
        <f aca="false">IF(OR(AF279="",AF279=0),"",AJ279/AF279)</f>
        <v/>
      </c>
      <c r="AL279" s="38" t="str">
        <f aca="false">IF(AJ279="","",AJ279-AM279)</f>
        <v/>
      </c>
      <c r="AM279" s="40" t="str">
        <f aca="false">IF(OR(AH279="",AF279=""),"",ROUND((AH279-AF279)/1.2*0.2,2))</f>
        <v/>
      </c>
      <c r="AN279" s="39" t="str">
        <f aca="false">IF(OR(AF279="",AF279=0),"",AL279/AF279)</f>
        <v/>
      </c>
      <c r="AO279" s="37"/>
      <c r="AP279" s="37"/>
      <c r="AQ279" s="37"/>
      <c r="AR279" s="41" t="str">
        <f aca="true">IF(OR(A279="",P279=""),"",IF(AO279&lt;&gt;"",AO279-P279,TODAY()-P279))</f>
        <v/>
      </c>
      <c r="AS279" s="37"/>
    </row>
    <row r="280" customFormat="false" ht="21.75" hidden="false" customHeight="true" outlineLevel="0" collapsed="false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3" t="str">
        <f aca="false">IF(A280="","",SUM(Y280:AE280))</f>
        <v/>
      </c>
      <c r="AG280" s="43" t="str">
        <f aca="false">IF(AF280="","",ROUND(AF280*1.2/100,0)*100)</f>
        <v/>
      </c>
      <c r="AH280" s="43"/>
      <c r="AI280" s="43" t="str">
        <f aca="false">IF(AF280="","",ROUND(AF280*1.05/100,0)*100)</f>
        <v/>
      </c>
      <c r="AJ280" s="43" t="str">
        <f aca="false">IF(OR(AH280="",AF280=""),"",AH280-AF280)</f>
        <v/>
      </c>
      <c r="AK280" s="44" t="str">
        <f aca="false">IF(OR(AF280="",AF280=0),"",AJ280/AF280)</f>
        <v/>
      </c>
      <c r="AL280" s="43" t="str">
        <f aca="false">IF(AJ280="","",AJ280-AM280)</f>
        <v/>
      </c>
      <c r="AM280" s="45" t="str">
        <f aca="false">IF(OR(AH280="",AF280=""),"",ROUND((AH280-AF280)/1.2*0.2,2))</f>
        <v/>
      </c>
      <c r="AN280" s="44" t="str">
        <f aca="false">IF(OR(AF280="",AF280=0),"",AL280/AF280)</f>
        <v/>
      </c>
      <c r="AO280" s="42"/>
      <c r="AP280" s="42"/>
      <c r="AQ280" s="42"/>
      <c r="AR280" s="46" t="str">
        <f aca="true">IF(OR(A280="",P280=""),"",IF(AO280&lt;&gt;"",AO280-P280,TODAY()-P280))</f>
        <v/>
      </c>
      <c r="AS280" s="42"/>
    </row>
    <row r="281" customFormat="false" ht="21.75" hidden="false" customHeight="true" outlineLevel="0" collapsed="false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8" t="str">
        <f aca="false">IF(A281="","",SUM(Y281:AE281))</f>
        <v/>
      </c>
      <c r="AG281" s="38" t="str">
        <f aca="false">IF(AF281="","",ROUND(AF281*1.2/100,0)*100)</f>
        <v/>
      </c>
      <c r="AH281" s="38"/>
      <c r="AI281" s="38" t="str">
        <f aca="false">IF(AF281="","",ROUND(AF281*1.05/100,0)*100)</f>
        <v/>
      </c>
      <c r="AJ281" s="38" t="str">
        <f aca="false">IF(OR(AH281="",AF281=""),"",AH281-AF281)</f>
        <v/>
      </c>
      <c r="AK281" s="39" t="str">
        <f aca="false">IF(OR(AF281="",AF281=0),"",AJ281/AF281)</f>
        <v/>
      </c>
      <c r="AL281" s="38" t="str">
        <f aca="false">IF(AJ281="","",AJ281-AM281)</f>
        <v/>
      </c>
      <c r="AM281" s="40" t="str">
        <f aca="false">IF(OR(AH281="",AF281=""),"",ROUND((AH281-AF281)/1.2*0.2,2))</f>
        <v/>
      </c>
      <c r="AN281" s="39" t="str">
        <f aca="false">IF(OR(AF281="",AF281=0),"",AL281/AF281)</f>
        <v/>
      </c>
      <c r="AO281" s="37"/>
      <c r="AP281" s="37"/>
      <c r="AQ281" s="37"/>
      <c r="AR281" s="41" t="str">
        <f aca="true">IF(OR(A281="",P281=""),"",IF(AO281&lt;&gt;"",AO281-P281,TODAY()-P281))</f>
        <v/>
      </c>
      <c r="AS281" s="37"/>
    </row>
    <row r="282" customFormat="false" ht="21.75" hidden="false" customHeight="true" outlineLevel="0" collapsed="false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3" t="str">
        <f aca="false">IF(A282="","",SUM(Y282:AE282))</f>
        <v/>
      </c>
      <c r="AG282" s="43" t="str">
        <f aca="false">IF(AF282="","",ROUND(AF282*1.2/100,0)*100)</f>
        <v/>
      </c>
      <c r="AH282" s="43"/>
      <c r="AI282" s="43" t="str">
        <f aca="false">IF(AF282="","",ROUND(AF282*1.05/100,0)*100)</f>
        <v/>
      </c>
      <c r="AJ282" s="43" t="str">
        <f aca="false">IF(OR(AH282="",AF282=""),"",AH282-AF282)</f>
        <v/>
      </c>
      <c r="AK282" s="44" t="str">
        <f aca="false">IF(OR(AF282="",AF282=0),"",AJ282/AF282)</f>
        <v/>
      </c>
      <c r="AL282" s="43" t="str">
        <f aca="false">IF(AJ282="","",AJ282-AM282)</f>
        <v/>
      </c>
      <c r="AM282" s="45" t="str">
        <f aca="false">IF(OR(AH282="",AF282=""),"",ROUND((AH282-AF282)/1.2*0.2,2))</f>
        <v/>
      </c>
      <c r="AN282" s="44" t="str">
        <f aca="false">IF(OR(AF282="",AF282=0),"",AL282/AF282)</f>
        <v/>
      </c>
      <c r="AO282" s="42"/>
      <c r="AP282" s="42"/>
      <c r="AQ282" s="42"/>
      <c r="AR282" s="46" t="str">
        <f aca="true">IF(OR(A282="",P282=""),"",IF(AO282&lt;&gt;"",AO282-P282,TODAY()-P282))</f>
        <v/>
      </c>
      <c r="AS282" s="42"/>
    </row>
    <row r="283" customFormat="false" ht="21.75" hidden="false" customHeight="true" outlineLevel="0" collapsed="false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8" t="str">
        <f aca="false">IF(A283="","",SUM(Y283:AE283))</f>
        <v/>
      </c>
      <c r="AG283" s="38" t="str">
        <f aca="false">IF(AF283="","",ROUND(AF283*1.2/100,0)*100)</f>
        <v/>
      </c>
      <c r="AH283" s="38"/>
      <c r="AI283" s="38" t="str">
        <f aca="false">IF(AF283="","",ROUND(AF283*1.05/100,0)*100)</f>
        <v/>
      </c>
      <c r="AJ283" s="38" t="str">
        <f aca="false">IF(OR(AH283="",AF283=""),"",AH283-AF283)</f>
        <v/>
      </c>
      <c r="AK283" s="39" t="str">
        <f aca="false">IF(OR(AF283="",AF283=0),"",AJ283/AF283)</f>
        <v/>
      </c>
      <c r="AL283" s="38" t="str">
        <f aca="false">IF(AJ283="","",AJ283-AM283)</f>
        <v/>
      </c>
      <c r="AM283" s="40" t="str">
        <f aca="false">IF(OR(AH283="",AF283=""),"",ROUND((AH283-AF283)/1.2*0.2,2))</f>
        <v/>
      </c>
      <c r="AN283" s="39" t="str">
        <f aca="false">IF(OR(AF283="",AF283=0),"",AL283/AF283)</f>
        <v/>
      </c>
      <c r="AO283" s="37"/>
      <c r="AP283" s="37"/>
      <c r="AQ283" s="37"/>
      <c r="AR283" s="41" t="str">
        <f aca="true">IF(OR(A283="",P283=""),"",IF(AO283&lt;&gt;"",AO283-P283,TODAY()-P283))</f>
        <v/>
      </c>
      <c r="AS283" s="37"/>
    </row>
    <row r="284" customFormat="false" ht="21.75" hidden="false" customHeight="true" outlineLevel="0" collapsed="false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3" t="str">
        <f aca="false">IF(A284="","",SUM(Y284:AE284))</f>
        <v/>
      </c>
      <c r="AG284" s="43" t="str">
        <f aca="false">IF(AF284="","",ROUND(AF284*1.2/100,0)*100)</f>
        <v/>
      </c>
      <c r="AH284" s="43"/>
      <c r="AI284" s="43" t="str">
        <f aca="false">IF(AF284="","",ROUND(AF284*1.05/100,0)*100)</f>
        <v/>
      </c>
      <c r="AJ284" s="43" t="str">
        <f aca="false">IF(OR(AH284="",AF284=""),"",AH284-AF284)</f>
        <v/>
      </c>
      <c r="AK284" s="44" t="str">
        <f aca="false">IF(OR(AF284="",AF284=0),"",AJ284/AF284)</f>
        <v/>
      </c>
      <c r="AL284" s="43" t="str">
        <f aca="false">IF(AJ284="","",AJ284-AM284)</f>
        <v/>
      </c>
      <c r="AM284" s="45" t="str">
        <f aca="false">IF(OR(AH284="",AF284=""),"",ROUND((AH284-AF284)/1.2*0.2,2))</f>
        <v/>
      </c>
      <c r="AN284" s="44" t="str">
        <f aca="false">IF(OR(AF284="",AF284=0),"",AL284/AF284)</f>
        <v/>
      </c>
      <c r="AO284" s="42"/>
      <c r="AP284" s="42"/>
      <c r="AQ284" s="42"/>
      <c r="AR284" s="46" t="str">
        <f aca="true">IF(OR(A284="",P284=""),"",IF(AO284&lt;&gt;"",AO284-P284,TODAY()-P284))</f>
        <v/>
      </c>
      <c r="AS284" s="42"/>
    </row>
    <row r="285" customFormat="false" ht="21.75" hidden="false" customHeight="true" outlineLevel="0" collapsed="false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8" t="str">
        <f aca="false">IF(A285="","",SUM(Y285:AE285))</f>
        <v/>
      </c>
      <c r="AG285" s="38" t="str">
        <f aca="false">IF(AF285="","",ROUND(AF285*1.2/100,0)*100)</f>
        <v/>
      </c>
      <c r="AH285" s="38"/>
      <c r="AI285" s="38" t="str">
        <f aca="false">IF(AF285="","",ROUND(AF285*1.05/100,0)*100)</f>
        <v/>
      </c>
      <c r="AJ285" s="38" t="str">
        <f aca="false">IF(OR(AH285="",AF285=""),"",AH285-AF285)</f>
        <v/>
      </c>
      <c r="AK285" s="39" t="str">
        <f aca="false">IF(OR(AF285="",AF285=0),"",AJ285/AF285)</f>
        <v/>
      </c>
      <c r="AL285" s="38" t="str">
        <f aca="false">IF(AJ285="","",AJ285-AM285)</f>
        <v/>
      </c>
      <c r="AM285" s="40" t="str">
        <f aca="false">IF(OR(AH285="",AF285=""),"",ROUND((AH285-AF285)/1.2*0.2,2))</f>
        <v/>
      </c>
      <c r="AN285" s="39" t="str">
        <f aca="false">IF(OR(AF285="",AF285=0),"",AL285/AF285)</f>
        <v/>
      </c>
      <c r="AO285" s="37"/>
      <c r="AP285" s="37"/>
      <c r="AQ285" s="37"/>
      <c r="AR285" s="41" t="str">
        <f aca="true">IF(OR(A285="",P285=""),"",IF(AO285&lt;&gt;"",AO285-P285,TODAY()-P285))</f>
        <v/>
      </c>
      <c r="AS285" s="37"/>
    </row>
    <row r="286" customFormat="false" ht="21.75" hidden="false" customHeight="true" outlineLevel="0" collapsed="false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3" t="str">
        <f aca="false">IF(A286="","",SUM(Y286:AE286))</f>
        <v/>
      </c>
      <c r="AG286" s="43" t="str">
        <f aca="false">IF(AF286="","",ROUND(AF286*1.2/100,0)*100)</f>
        <v/>
      </c>
      <c r="AH286" s="43"/>
      <c r="AI286" s="43" t="str">
        <f aca="false">IF(AF286="","",ROUND(AF286*1.05/100,0)*100)</f>
        <v/>
      </c>
      <c r="AJ286" s="43" t="str">
        <f aca="false">IF(OR(AH286="",AF286=""),"",AH286-AF286)</f>
        <v/>
      </c>
      <c r="AK286" s="44" t="str">
        <f aca="false">IF(OR(AF286="",AF286=0),"",AJ286/AF286)</f>
        <v/>
      </c>
      <c r="AL286" s="43" t="str">
        <f aca="false">IF(AJ286="","",AJ286-AM286)</f>
        <v/>
      </c>
      <c r="AM286" s="45" t="str">
        <f aca="false">IF(OR(AH286="",AF286=""),"",ROUND((AH286-AF286)/1.2*0.2,2))</f>
        <v/>
      </c>
      <c r="AN286" s="44" t="str">
        <f aca="false">IF(OR(AF286="",AF286=0),"",AL286/AF286)</f>
        <v/>
      </c>
      <c r="AO286" s="42"/>
      <c r="AP286" s="42"/>
      <c r="AQ286" s="42"/>
      <c r="AR286" s="46" t="str">
        <f aca="true">IF(OR(A286="",P286=""),"",IF(AO286&lt;&gt;"",AO286-P286,TODAY()-P286))</f>
        <v/>
      </c>
      <c r="AS286" s="42"/>
    </row>
    <row r="287" customFormat="false" ht="21.75" hidden="false" customHeight="true" outlineLevel="0" collapsed="false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8" t="str">
        <f aca="false">IF(A287="","",SUM(Y287:AE287))</f>
        <v/>
      </c>
      <c r="AG287" s="38" t="str">
        <f aca="false">IF(AF287="","",ROUND(AF287*1.2/100,0)*100)</f>
        <v/>
      </c>
      <c r="AH287" s="38"/>
      <c r="AI287" s="38" t="str">
        <f aca="false">IF(AF287="","",ROUND(AF287*1.05/100,0)*100)</f>
        <v/>
      </c>
      <c r="AJ287" s="38" t="str">
        <f aca="false">IF(OR(AH287="",AF287=""),"",AH287-AF287)</f>
        <v/>
      </c>
      <c r="AK287" s="39" t="str">
        <f aca="false">IF(OR(AF287="",AF287=0),"",AJ287/AF287)</f>
        <v/>
      </c>
      <c r="AL287" s="38" t="str">
        <f aca="false">IF(AJ287="","",AJ287-AM287)</f>
        <v/>
      </c>
      <c r="AM287" s="40" t="str">
        <f aca="false">IF(OR(AH287="",AF287=""),"",ROUND((AH287-AF287)/1.2*0.2,2))</f>
        <v/>
      </c>
      <c r="AN287" s="39" t="str">
        <f aca="false">IF(OR(AF287="",AF287=0),"",AL287/AF287)</f>
        <v/>
      </c>
      <c r="AO287" s="37"/>
      <c r="AP287" s="37"/>
      <c r="AQ287" s="37"/>
      <c r="AR287" s="41" t="str">
        <f aca="true">IF(OR(A287="",P287=""),"",IF(AO287&lt;&gt;"",AO287-P287,TODAY()-P287))</f>
        <v/>
      </c>
      <c r="AS287" s="37"/>
    </row>
    <row r="288" customFormat="false" ht="21.75" hidden="false" customHeight="true" outlineLevel="0" collapsed="false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3" t="str">
        <f aca="false">IF(A288="","",SUM(Y288:AE288))</f>
        <v/>
      </c>
      <c r="AG288" s="43" t="str">
        <f aca="false">IF(AF288="","",ROUND(AF288*1.2/100,0)*100)</f>
        <v/>
      </c>
      <c r="AH288" s="43"/>
      <c r="AI288" s="43" t="str">
        <f aca="false">IF(AF288="","",ROUND(AF288*1.05/100,0)*100)</f>
        <v/>
      </c>
      <c r="AJ288" s="43" t="str">
        <f aca="false">IF(OR(AH288="",AF288=""),"",AH288-AF288)</f>
        <v/>
      </c>
      <c r="AK288" s="44" t="str">
        <f aca="false">IF(OR(AF288="",AF288=0),"",AJ288/AF288)</f>
        <v/>
      </c>
      <c r="AL288" s="43" t="str">
        <f aca="false">IF(AJ288="","",AJ288-AM288)</f>
        <v/>
      </c>
      <c r="AM288" s="45" t="str">
        <f aca="false">IF(OR(AH288="",AF288=""),"",ROUND((AH288-AF288)/1.2*0.2,2))</f>
        <v/>
      </c>
      <c r="AN288" s="44" t="str">
        <f aca="false">IF(OR(AF288="",AF288=0),"",AL288/AF288)</f>
        <v/>
      </c>
      <c r="AO288" s="42"/>
      <c r="AP288" s="42"/>
      <c r="AQ288" s="42"/>
      <c r="AR288" s="46" t="str">
        <f aca="true">IF(OR(A288="",P288=""),"",IF(AO288&lt;&gt;"",AO288-P288,TODAY()-P288))</f>
        <v/>
      </c>
      <c r="AS288" s="42"/>
    </row>
    <row r="289" customFormat="false" ht="21.75" hidden="false" customHeight="true" outlineLevel="0" collapsed="false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8" t="str">
        <f aca="false">IF(A289="","",SUM(Y289:AE289))</f>
        <v/>
      </c>
      <c r="AG289" s="38" t="str">
        <f aca="false">IF(AF289="","",ROUND(AF289*1.2/100,0)*100)</f>
        <v/>
      </c>
      <c r="AH289" s="38"/>
      <c r="AI289" s="38" t="str">
        <f aca="false">IF(AF289="","",ROUND(AF289*1.05/100,0)*100)</f>
        <v/>
      </c>
      <c r="AJ289" s="38" t="str">
        <f aca="false">IF(OR(AH289="",AF289=""),"",AH289-AF289)</f>
        <v/>
      </c>
      <c r="AK289" s="39" t="str">
        <f aca="false">IF(OR(AF289="",AF289=0),"",AJ289/AF289)</f>
        <v/>
      </c>
      <c r="AL289" s="38" t="str">
        <f aca="false">IF(AJ289="","",AJ289-AM289)</f>
        <v/>
      </c>
      <c r="AM289" s="40" t="str">
        <f aca="false">IF(OR(AH289="",AF289=""),"",ROUND((AH289-AF289)/1.2*0.2,2))</f>
        <v/>
      </c>
      <c r="AN289" s="39" t="str">
        <f aca="false">IF(OR(AF289="",AF289=0),"",AL289/AF289)</f>
        <v/>
      </c>
      <c r="AO289" s="37"/>
      <c r="AP289" s="37"/>
      <c r="AQ289" s="37"/>
      <c r="AR289" s="41" t="str">
        <f aca="true">IF(OR(A289="",P289=""),"",IF(AO289&lt;&gt;"",AO289-P289,TODAY()-P289))</f>
        <v/>
      </c>
      <c r="AS289" s="37"/>
    </row>
    <row r="290" customFormat="false" ht="21.75" hidden="false" customHeight="true" outlineLevel="0" collapsed="false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3" t="str">
        <f aca="false">IF(A290="","",SUM(Y290:AE290))</f>
        <v/>
      </c>
      <c r="AG290" s="43" t="str">
        <f aca="false">IF(AF290="","",ROUND(AF290*1.2/100,0)*100)</f>
        <v/>
      </c>
      <c r="AH290" s="43"/>
      <c r="AI290" s="43" t="str">
        <f aca="false">IF(AF290="","",ROUND(AF290*1.05/100,0)*100)</f>
        <v/>
      </c>
      <c r="AJ290" s="43" t="str">
        <f aca="false">IF(OR(AH290="",AF290=""),"",AH290-AF290)</f>
        <v/>
      </c>
      <c r="AK290" s="44" t="str">
        <f aca="false">IF(OR(AF290="",AF290=0),"",AJ290/AF290)</f>
        <v/>
      </c>
      <c r="AL290" s="43" t="str">
        <f aca="false">IF(AJ290="","",AJ290-AM290)</f>
        <v/>
      </c>
      <c r="AM290" s="45" t="str">
        <f aca="false">IF(OR(AH290="",AF290=""),"",ROUND((AH290-AF290)/1.2*0.2,2))</f>
        <v/>
      </c>
      <c r="AN290" s="44" t="str">
        <f aca="false">IF(OR(AF290="",AF290=0),"",AL290/AF290)</f>
        <v/>
      </c>
      <c r="AO290" s="42"/>
      <c r="AP290" s="42"/>
      <c r="AQ290" s="42"/>
      <c r="AR290" s="46" t="str">
        <f aca="true">IF(OR(A290="",P290=""),"",IF(AO290&lt;&gt;"",AO290-P290,TODAY()-P290))</f>
        <v/>
      </c>
      <c r="AS290" s="42"/>
    </row>
    <row r="291" customFormat="false" ht="21.75" hidden="false" customHeight="true" outlineLevel="0" collapsed="false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8" t="str">
        <f aca="false">IF(A291="","",SUM(Y291:AE291))</f>
        <v/>
      </c>
      <c r="AG291" s="38" t="str">
        <f aca="false">IF(AF291="","",ROUND(AF291*1.2/100,0)*100)</f>
        <v/>
      </c>
      <c r="AH291" s="38"/>
      <c r="AI291" s="38" t="str">
        <f aca="false">IF(AF291="","",ROUND(AF291*1.05/100,0)*100)</f>
        <v/>
      </c>
      <c r="AJ291" s="38" t="str">
        <f aca="false">IF(OR(AH291="",AF291=""),"",AH291-AF291)</f>
        <v/>
      </c>
      <c r="AK291" s="39" t="str">
        <f aca="false">IF(OR(AF291="",AF291=0),"",AJ291/AF291)</f>
        <v/>
      </c>
      <c r="AL291" s="38" t="str">
        <f aca="false">IF(AJ291="","",AJ291-AM291)</f>
        <v/>
      </c>
      <c r="AM291" s="40" t="str">
        <f aca="false">IF(OR(AH291="",AF291=""),"",ROUND((AH291-AF291)/1.2*0.2,2))</f>
        <v/>
      </c>
      <c r="AN291" s="39" t="str">
        <f aca="false">IF(OR(AF291="",AF291=0),"",AL291/AF291)</f>
        <v/>
      </c>
      <c r="AO291" s="37"/>
      <c r="AP291" s="37"/>
      <c r="AQ291" s="37"/>
      <c r="AR291" s="41" t="str">
        <f aca="true">IF(OR(A291="",P291=""),"",IF(AO291&lt;&gt;"",AO291-P291,TODAY()-P291))</f>
        <v/>
      </c>
      <c r="AS291" s="37"/>
    </row>
    <row r="292" customFormat="false" ht="21.75" hidden="false" customHeight="true" outlineLevel="0" collapsed="false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3" t="str">
        <f aca="false">IF(A292="","",SUM(Y292:AE292))</f>
        <v/>
      </c>
      <c r="AG292" s="43" t="str">
        <f aca="false">IF(AF292="","",ROUND(AF292*1.2/100,0)*100)</f>
        <v/>
      </c>
      <c r="AH292" s="43"/>
      <c r="AI292" s="43" t="str">
        <f aca="false">IF(AF292="","",ROUND(AF292*1.05/100,0)*100)</f>
        <v/>
      </c>
      <c r="AJ292" s="43" t="str">
        <f aca="false">IF(OR(AH292="",AF292=""),"",AH292-AF292)</f>
        <v/>
      </c>
      <c r="AK292" s="44" t="str">
        <f aca="false">IF(OR(AF292="",AF292=0),"",AJ292/AF292)</f>
        <v/>
      </c>
      <c r="AL292" s="43" t="str">
        <f aca="false">IF(AJ292="","",AJ292-AM292)</f>
        <v/>
      </c>
      <c r="AM292" s="45" t="str">
        <f aca="false">IF(OR(AH292="",AF292=""),"",ROUND((AH292-AF292)/1.2*0.2,2))</f>
        <v/>
      </c>
      <c r="AN292" s="44" t="str">
        <f aca="false">IF(OR(AF292="",AF292=0),"",AL292/AF292)</f>
        <v/>
      </c>
      <c r="AO292" s="42"/>
      <c r="AP292" s="42"/>
      <c r="AQ292" s="42"/>
      <c r="AR292" s="46" t="str">
        <f aca="true">IF(OR(A292="",P292=""),"",IF(AO292&lt;&gt;"",AO292-P292,TODAY()-P292))</f>
        <v/>
      </c>
      <c r="AS292" s="42"/>
    </row>
    <row r="293" customFormat="false" ht="21.75" hidden="false" customHeight="true" outlineLevel="0" collapsed="false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8" t="str">
        <f aca="false">IF(A293="","",SUM(Y293:AE293))</f>
        <v/>
      </c>
      <c r="AG293" s="38" t="str">
        <f aca="false">IF(AF293="","",ROUND(AF293*1.2/100,0)*100)</f>
        <v/>
      </c>
      <c r="AH293" s="38"/>
      <c r="AI293" s="38" t="str">
        <f aca="false">IF(AF293="","",ROUND(AF293*1.05/100,0)*100)</f>
        <v/>
      </c>
      <c r="AJ293" s="38" t="str">
        <f aca="false">IF(OR(AH293="",AF293=""),"",AH293-AF293)</f>
        <v/>
      </c>
      <c r="AK293" s="39" t="str">
        <f aca="false">IF(OR(AF293="",AF293=0),"",AJ293/AF293)</f>
        <v/>
      </c>
      <c r="AL293" s="38" t="str">
        <f aca="false">IF(AJ293="","",AJ293-AM293)</f>
        <v/>
      </c>
      <c r="AM293" s="40" t="str">
        <f aca="false">IF(OR(AH293="",AF293=""),"",ROUND((AH293-AF293)/1.2*0.2,2))</f>
        <v/>
      </c>
      <c r="AN293" s="39" t="str">
        <f aca="false">IF(OR(AF293="",AF293=0),"",AL293/AF293)</f>
        <v/>
      </c>
      <c r="AO293" s="37"/>
      <c r="AP293" s="37"/>
      <c r="AQ293" s="37"/>
      <c r="AR293" s="41" t="str">
        <f aca="true">IF(OR(A293="",P293=""),"",IF(AO293&lt;&gt;"",AO293-P293,TODAY()-P293))</f>
        <v/>
      </c>
      <c r="AS293" s="37"/>
    </row>
    <row r="294" customFormat="false" ht="21.75" hidden="false" customHeight="true" outlineLevel="0" collapsed="false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3" t="str">
        <f aca="false">IF(A294="","",SUM(Y294:AE294))</f>
        <v/>
      </c>
      <c r="AG294" s="43" t="str">
        <f aca="false">IF(AF294="","",ROUND(AF294*1.2/100,0)*100)</f>
        <v/>
      </c>
      <c r="AH294" s="43"/>
      <c r="AI294" s="43" t="str">
        <f aca="false">IF(AF294="","",ROUND(AF294*1.05/100,0)*100)</f>
        <v/>
      </c>
      <c r="AJ294" s="43" t="str">
        <f aca="false">IF(OR(AH294="",AF294=""),"",AH294-AF294)</f>
        <v/>
      </c>
      <c r="AK294" s="44" t="str">
        <f aca="false">IF(OR(AF294="",AF294=0),"",AJ294/AF294)</f>
        <v/>
      </c>
      <c r="AL294" s="43" t="str">
        <f aca="false">IF(AJ294="","",AJ294-AM294)</f>
        <v/>
      </c>
      <c r="AM294" s="45" t="str">
        <f aca="false">IF(OR(AH294="",AF294=""),"",ROUND((AH294-AF294)/1.2*0.2,2))</f>
        <v/>
      </c>
      <c r="AN294" s="44" t="str">
        <f aca="false">IF(OR(AF294="",AF294=0),"",AL294/AF294)</f>
        <v/>
      </c>
      <c r="AO294" s="42"/>
      <c r="AP294" s="42"/>
      <c r="AQ294" s="42"/>
      <c r="AR294" s="46" t="str">
        <f aca="true">IF(OR(A294="",P294=""),"",IF(AO294&lt;&gt;"",AO294-P294,TODAY()-P294))</f>
        <v/>
      </c>
      <c r="AS294" s="42"/>
    </row>
    <row r="295" customFormat="false" ht="21.75" hidden="false" customHeight="true" outlineLevel="0" collapsed="false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8" t="str">
        <f aca="false">IF(A295="","",SUM(Y295:AE295))</f>
        <v/>
      </c>
      <c r="AG295" s="38" t="str">
        <f aca="false">IF(AF295="","",ROUND(AF295*1.2/100,0)*100)</f>
        <v/>
      </c>
      <c r="AH295" s="38"/>
      <c r="AI295" s="38" t="str">
        <f aca="false">IF(AF295="","",ROUND(AF295*1.05/100,0)*100)</f>
        <v/>
      </c>
      <c r="AJ295" s="38" t="str">
        <f aca="false">IF(OR(AH295="",AF295=""),"",AH295-AF295)</f>
        <v/>
      </c>
      <c r="AK295" s="39" t="str">
        <f aca="false">IF(OR(AF295="",AF295=0),"",AJ295/AF295)</f>
        <v/>
      </c>
      <c r="AL295" s="38" t="str">
        <f aca="false">IF(AJ295="","",AJ295-AM295)</f>
        <v/>
      </c>
      <c r="AM295" s="40" t="str">
        <f aca="false">IF(OR(AH295="",AF295=""),"",ROUND((AH295-AF295)/1.2*0.2,2))</f>
        <v/>
      </c>
      <c r="AN295" s="39" t="str">
        <f aca="false">IF(OR(AF295="",AF295=0),"",AL295/AF295)</f>
        <v/>
      </c>
      <c r="AO295" s="37"/>
      <c r="AP295" s="37"/>
      <c r="AQ295" s="37"/>
      <c r="AR295" s="41" t="str">
        <f aca="true">IF(OR(A295="",P295=""),"",IF(AO295&lt;&gt;"",AO295-P295,TODAY()-P295))</f>
        <v/>
      </c>
      <c r="AS295" s="37"/>
    </row>
    <row r="296" customFormat="false" ht="21.75" hidden="false" customHeight="true" outlineLevel="0" collapsed="false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3" t="str">
        <f aca="false">IF(A296="","",SUM(Y296:AE296))</f>
        <v/>
      </c>
      <c r="AG296" s="43" t="str">
        <f aca="false">IF(AF296="","",ROUND(AF296*1.2/100,0)*100)</f>
        <v/>
      </c>
      <c r="AH296" s="43"/>
      <c r="AI296" s="43" t="str">
        <f aca="false">IF(AF296="","",ROUND(AF296*1.05/100,0)*100)</f>
        <v/>
      </c>
      <c r="AJ296" s="43" t="str">
        <f aca="false">IF(OR(AH296="",AF296=""),"",AH296-AF296)</f>
        <v/>
      </c>
      <c r="AK296" s="44" t="str">
        <f aca="false">IF(OR(AF296="",AF296=0),"",AJ296/AF296)</f>
        <v/>
      </c>
      <c r="AL296" s="43" t="str">
        <f aca="false">IF(AJ296="","",AJ296-AM296)</f>
        <v/>
      </c>
      <c r="AM296" s="45" t="str">
        <f aca="false">IF(OR(AH296="",AF296=""),"",ROUND((AH296-AF296)/1.2*0.2,2))</f>
        <v/>
      </c>
      <c r="AN296" s="44" t="str">
        <f aca="false">IF(OR(AF296="",AF296=0),"",AL296/AF296)</f>
        <v/>
      </c>
      <c r="AO296" s="42"/>
      <c r="AP296" s="42"/>
      <c r="AQ296" s="42"/>
      <c r="AR296" s="46" t="str">
        <f aca="true">IF(OR(A296="",P296=""),"",IF(AO296&lt;&gt;"",AO296-P296,TODAY()-P296))</f>
        <v/>
      </c>
      <c r="AS296" s="42"/>
    </row>
    <row r="297" customFormat="false" ht="21.75" hidden="false" customHeight="true" outlineLevel="0" collapsed="false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8" t="str">
        <f aca="false">IF(A297="","",SUM(Y297:AE297))</f>
        <v/>
      </c>
      <c r="AG297" s="38" t="str">
        <f aca="false">IF(AF297="","",ROUND(AF297*1.2/100,0)*100)</f>
        <v/>
      </c>
      <c r="AH297" s="38"/>
      <c r="AI297" s="38" t="str">
        <f aca="false">IF(AF297="","",ROUND(AF297*1.05/100,0)*100)</f>
        <v/>
      </c>
      <c r="AJ297" s="38" t="str">
        <f aca="false">IF(OR(AH297="",AF297=""),"",AH297-AF297)</f>
        <v/>
      </c>
      <c r="AK297" s="39" t="str">
        <f aca="false">IF(OR(AF297="",AF297=0),"",AJ297/AF297)</f>
        <v/>
      </c>
      <c r="AL297" s="38" t="str">
        <f aca="false">IF(AJ297="","",AJ297-AM297)</f>
        <v/>
      </c>
      <c r="AM297" s="40" t="str">
        <f aca="false">IF(OR(AH297="",AF297=""),"",ROUND((AH297-AF297)/1.2*0.2,2))</f>
        <v/>
      </c>
      <c r="AN297" s="39" t="str">
        <f aca="false">IF(OR(AF297="",AF297=0),"",AL297/AF297)</f>
        <v/>
      </c>
      <c r="AO297" s="37"/>
      <c r="AP297" s="37"/>
      <c r="AQ297" s="37"/>
      <c r="AR297" s="41" t="str">
        <f aca="true">IF(OR(A297="",P297=""),"",IF(AO297&lt;&gt;"",AO297-P297,TODAY()-P297))</f>
        <v/>
      </c>
      <c r="AS297" s="37"/>
    </row>
    <row r="298" customFormat="false" ht="21.75" hidden="false" customHeight="true" outlineLevel="0" collapsed="false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3" t="str">
        <f aca="false">IF(A298="","",SUM(Y298:AE298))</f>
        <v/>
      </c>
      <c r="AG298" s="43" t="str">
        <f aca="false">IF(AF298="","",ROUND(AF298*1.2/100,0)*100)</f>
        <v/>
      </c>
      <c r="AH298" s="43"/>
      <c r="AI298" s="43" t="str">
        <f aca="false">IF(AF298="","",ROUND(AF298*1.05/100,0)*100)</f>
        <v/>
      </c>
      <c r="AJ298" s="43" t="str">
        <f aca="false">IF(OR(AH298="",AF298=""),"",AH298-AF298)</f>
        <v/>
      </c>
      <c r="AK298" s="44" t="str">
        <f aca="false">IF(OR(AF298="",AF298=0),"",AJ298/AF298)</f>
        <v/>
      </c>
      <c r="AL298" s="43" t="str">
        <f aca="false">IF(AJ298="","",AJ298-AM298)</f>
        <v/>
      </c>
      <c r="AM298" s="45" t="str">
        <f aca="false">IF(OR(AH298="",AF298=""),"",ROUND((AH298-AF298)/1.2*0.2,2))</f>
        <v/>
      </c>
      <c r="AN298" s="44" t="str">
        <f aca="false">IF(OR(AF298="",AF298=0),"",AL298/AF298)</f>
        <v/>
      </c>
      <c r="AO298" s="42"/>
      <c r="AP298" s="42"/>
      <c r="AQ298" s="42"/>
      <c r="AR298" s="46" t="str">
        <f aca="true">IF(OR(A298="",P298=""),"",IF(AO298&lt;&gt;"",AO298-P298,TODAY()-P298))</f>
        <v/>
      </c>
      <c r="AS298" s="42"/>
    </row>
    <row r="299" customFormat="false" ht="21.75" hidden="false" customHeight="true" outlineLevel="0" collapsed="false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8" t="str">
        <f aca="false">IF(A299="","",SUM(Y299:AE299))</f>
        <v/>
      </c>
      <c r="AG299" s="38" t="str">
        <f aca="false">IF(AF299="","",ROUND(AF299*1.2/100,0)*100)</f>
        <v/>
      </c>
      <c r="AH299" s="38"/>
      <c r="AI299" s="38" t="str">
        <f aca="false">IF(AF299="","",ROUND(AF299*1.05/100,0)*100)</f>
        <v/>
      </c>
      <c r="AJ299" s="38" t="str">
        <f aca="false">IF(OR(AH299="",AF299=""),"",AH299-AF299)</f>
        <v/>
      </c>
      <c r="AK299" s="39" t="str">
        <f aca="false">IF(OR(AF299="",AF299=0),"",AJ299/AF299)</f>
        <v/>
      </c>
      <c r="AL299" s="38" t="str">
        <f aca="false">IF(AJ299="","",AJ299-AM299)</f>
        <v/>
      </c>
      <c r="AM299" s="40" t="str">
        <f aca="false">IF(OR(AH299="",AF299=""),"",ROUND((AH299-AF299)/1.2*0.2,2))</f>
        <v/>
      </c>
      <c r="AN299" s="39" t="str">
        <f aca="false">IF(OR(AF299="",AF299=0),"",AL299/AF299)</f>
        <v/>
      </c>
      <c r="AO299" s="37"/>
      <c r="AP299" s="37"/>
      <c r="AQ299" s="37"/>
      <c r="AR299" s="41" t="str">
        <f aca="true">IF(OR(A299="",P299=""),"",IF(AO299&lt;&gt;"",AO299-P299,TODAY()-P299))</f>
        <v/>
      </c>
      <c r="AS299" s="37"/>
    </row>
    <row r="300" customFormat="false" ht="21.75" hidden="false" customHeight="true" outlineLevel="0" collapsed="false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3" t="str">
        <f aca="false">IF(A300="","",SUM(Y300:AE300))</f>
        <v/>
      </c>
      <c r="AG300" s="43" t="str">
        <f aca="false">IF(AF300="","",ROUND(AF300*1.2/100,0)*100)</f>
        <v/>
      </c>
      <c r="AH300" s="43"/>
      <c r="AI300" s="43" t="str">
        <f aca="false">IF(AF300="","",ROUND(AF300*1.05/100,0)*100)</f>
        <v/>
      </c>
      <c r="AJ300" s="43" t="str">
        <f aca="false">IF(OR(AH300="",AF300=""),"",AH300-AF300)</f>
        <v/>
      </c>
      <c r="AK300" s="44" t="str">
        <f aca="false">IF(OR(AF300="",AF300=0),"",AJ300/AF300)</f>
        <v/>
      </c>
      <c r="AL300" s="43" t="str">
        <f aca="false">IF(AJ300="","",AJ300-AM300)</f>
        <v/>
      </c>
      <c r="AM300" s="45" t="str">
        <f aca="false">IF(OR(AH300="",AF300=""),"",ROUND((AH300-AF300)/1.2*0.2,2))</f>
        <v/>
      </c>
      <c r="AN300" s="44" t="str">
        <f aca="false">IF(OR(AF300="",AF300=0),"",AL300/AF300)</f>
        <v/>
      </c>
      <c r="AO300" s="42"/>
      <c r="AP300" s="42"/>
      <c r="AQ300" s="42"/>
      <c r="AR300" s="46" t="str">
        <f aca="true">IF(OR(A300="",P300=""),"",IF(AO300&lt;&gt;"",AO300-P300,TODAY()-P300))</f>
        <v/>
      </c>
      <c r="AS300" s="42"/>
    </row>
    <row r="301" customFormat="false" ht="21.75" hidden="false" customHeight="true" outlineLevel="0" collapsed="false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8" t="str">
        <f aca="false">IF(A301="","",SUM(Y301:AE301))</f>
        <v/>
      </c>
      <c r="AG301" s="38" t="str">
        <f aca="false">IF(AF301="","",ROUND(AF301*1.2/100,0)*100)</f>
        <v/>
      </c>
      <c r="AH301" s="38"/>
      <c r="AI301" s="38" t="str">
        <f aca="false">IF(AF301="","",ROUND(AF301*1.05/100,0)*100)</f>
        <v/>
      </c>
      <c r="AJ301" s="38" t="str">
        <f aca="false">IF(OR(AH301="",AF301=""),"",AH301-AF301)</f>
        <v/>
      </c>
      <c r="AK301" s="39" t="str">
        <f aca="false">IF(OR(AF301="",AF301=0),"",AJ301/AF301)</f>
        <v/>
      </c>
      <c r="AL301" s="38" t="str">
        <f aca="false">IF(AJ301="","",AJ301-AM301)</f>
        <v/>
      </c>
      <c r="AM301" s="40" t="str">
        <f aca="false">IF(OR(AH301="",AF301=""),"",ROUND((AH301-AF301)/1.2*0.2,2))</f>
        <v/>
      </c>
      <c r="AN301" s="39" t="str">
        <f aca="false">IF(OR(AF301="",AF301=0),"",AL301/AF301)</f>
        <v/>
      </c>
      <c r="AO301" s="37"/>
      <c r="AP301" s="37"/>
      <c r="AQ301" s="37"/>
      <c r="AR301" s="41" t="str">
        <f aca="true">IF(OR(A301="",P301=""),"",IF(AO301&lt;&gt;"",AO301-P301,TODAY()-P301))</f>
        <v/>
      </c>
      <c r="AS301" s="37"/>
    </row>
    <row r="302" customFormat="false" ht="21.75" hidden="false" customHeight="true" outlineLevel="0" collapsed="false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3" t="str">
        <f aca="false">IF(A302="","",SUM(Y302:AE302))</f>
        <v/>
      </c>
      <c r="AG302" s="43" t="str">
        <f aca="false">IF(AF302="","",ROUND(AF302*1.2/100,0)*100)</f>
        <v/>
      </c>
      <c r="AH302" s="43"/>
      <c r="AI302" s="43" t="str">
        <f aca="false">IF(AF302="","",ROUND(AF302*1.05/100,0)*100)</f>
        <v/>
      </c>
      <c r="AJ302" s="43" t="str">
        <f aca="false">IF(OR(AH302="",AF302=""),"",AH302-AF302)</f>
        <v/>
      </c>
      <c r="AK302" s="44" t="str">
        <f aca="false">IF(OR(AF302="",AF302=0),"",AJ302/AF302)</f>
        <v/>
      </c>
      <c r="AL302" s="43" t="str">
        <f aca="false">IF(AJ302="","",AJ302-AM302)</f>
        <v/>
      </c>
      <c r="AM302" s="45" t="str">
        <f aca="false">IF(OR(AH302="",AF302=""),"",ROUND((AH302-AF302)/1.2*0.2,2))</f>
        <v/>
      </c>
      <c r="AN302" s="44" t="str">
        <f aca="false">IF(OR(AF302="",AF302=0),"",AL302/AF302)</f>
        <v/>
      </c>
      <c r="AO302" s="42"/>
      <c r="AP302" s="42"/>
      <c r="AQ302" s="42"/>
      <c r="AR302" s="46" t="str">
        <f aca="true">IF(OR(A302="",P302=""),"",IF(AO302&lt;&gt;"",AO302-P302,TODAY()-P302))</f>
        <v/>
      </c>
      <c r="AS302" s="42"/>
    </row>
    <row r="303" customFormat="false" ht="21.75" hidden="false" customHeight="true" outlineLevel="0" collapsed="false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8" t="str">
        <f aca="false">IF(A303="","",SUM(Y303:AE303))</f>
        <v/>
      </c>
      <c r="AG303" s="38" t="str">
        <f aca="false">IF(AF303="","",ROUND(AF303*1.2/100,0)*100)</f>
        <v/>
      </c>
      <c r="AH303" s="38"/>
      <c r="AI303" s="38" t="str">
        <f aca="false">IF(AF303="","",ROUND(AF303*1.05/100,0)*100)</f>
        <v/>
      </c>
      <c r="AJ303" s="38" t="str">
        <f aca="false">IF(OR(AH303="",AF303=""),"",AH303-AF303)</f>
        <v/>
      </c>
      <c r="AK303" s="39" t="str">
        <f aca="false">IF(OR(AF303="",AF303=0),"",AJ303/AF303)</f>
        <v/>
      </c>
      <c r="AL303" s="38" t="str">
        <f aca="false">IF(AJ303="","",AJ303-AM303)</f>
        <v/>
      </c>
      <c r="AM303" s="40" t="str">
        <f aca="false">IF(OR(AH303="",AF303=""),"",ROUND((AH303-AF303)/1.2*0.2,2))</f>
        <v/>
      </c>
      <c r="AN303" s="39" t="str">
        <f aca="false">IF(OR(AF303="",AF303=0),"",AL303/AF303)</f>
        <v/>
      </c>
      <c r="AO303" s="37"/>
      <c r="AP303" s="37"/>
      <c r="AQ303" s="37"/>
      <c r="AR303" s="41" t="str">
        <f aca="true">IF(OR(A303="",P303=""),"",IF(AO303&lt;&gt;"",AO303-P303,TODAY()-P303))</f>
        <v/>
      </c>
      <c r="AS303" s="37"/>
    </row>
    <row r="304" customFormat="false" ht="21.75" hidden="false" customHeight="true" outlineLevel="0" collapsed="false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3" t="str">
        <f aca="false">IF(A304="","",SUM(Y304:AE304))</f>
        <v/>
      </c>
      <c r="AG304" s="43" t="str">
        <f aca="false">IF(AF304="","",ROUND(AF304*1.2/100,0)*100)</f>
        <v/>
      </c>
      <c r="AH304" s="43"/>
      <c r="AI304" s="43" t="str">
        <f aca="false">IF(AF304="","",ROUND(AF304*1.05/100,0)*100)</f>
        <v/>
      </c>
      <c r="AJ304" s="43" t="str">
        <f aca="false">IF(OR(AH304="",AF304=""),"",AH304-AF304)</f>
        <v/>
      </c>
      <c r="AK304" s="44" t="str">
        <f aca="false">IF(OR(AF304="",AF304=0),"",AJ304/AF304)</f>
        <v/>
      </c>
      <c r="AL304" s="43" t="str">
        <f aca="false">IF(AJ304="","",AJ304-AM304)</f>
        <v/>
      </c>
      <c r="AM304" s="45" t="str">
        <f aca="false">IF(OR(AH304="",AF304=""),"",ROUND((AH304-AF304)/1.2*0.2,2))</f>
        <v/>
      </c>
      <c r="AN304" s="44" t="str">
        <f aca="false">IF(OR(AF304="",AF304=0),"",AL304/AF304)</f>
        <v/>
      </c>
      <c r="AO304" s="42"/>
      <c r="AP304" s="42"/>
      <c r="AQ304" s="42"/>
      <c r="AR304" s="46" t="str">
        <f aca="true">IF(OR(A304="",P304=""),"",IF(AO304&lt;&gt;"",AO304-P304,TODAY()-P304))</f>
        <v/>
      </c>
      <c r="AS304" s="42"/>
    </row>
    <row r="305" customFormat="false" ht="21.75" hidden="false" customHeight="true" outlineLevel="0" collapsed="false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8" t="str">
        <f aca="false">IF(A305="","",SUM(Y305:AE305))</f>
        <v/>
      </c>
      <c r="AG305" s="38" t="str">
        <f aca="false">IF(AF305="","",ROUND(AF305*1.2/100,0)*100)</f>
        <v/>
      </c>
      <c r="AH305" s="38"/>
      <c r="AI305" s="38" t="str">
        <f aca="false">IF(AF305="","",ROUND(AF305*1.05/100,0)*100)</f>
        <v/>
      </c>
      <c r="AJ305" s="38" t="str">
        <f aca="false">IF(OR(AH305="",AF305=""),"",AH305-AF305)</f>
        <v/>
      </c>
      <c r="AK305" s="39" t="str">
        <f aca="false">IF(OR(AF305="",AF305=0),"",AJ305/AF305)</f>
        <v/>
      </c>
      <c r="AL305" s="38" t="str">
        <f aca="false">IF(AJ305="","",AJ305-AM305)</f>
        <v/>
      </c>
      <c r="AM305" s="40" t="str">
        <f aca="false">IF(OR(AH305="",AF305=""),"",ROUND((AH305-AF305)/1.2*0.2,2))</f>
        <v/>
      </c>
      <c r="AN305" s="39" t="str">
        <f aca="false">IF(OR(AF305="",AF305=0),"",AL305/AF305)</f>
        <v/>
      </c>
      <c r="AO305" s="37"/>
      <c r="AP305" s="37"/>
      <c r="AQ305" s="37"/>
      <c r="AR305" s="41" t="str">
        <f aca="true">IF(OR(A305="",P305=""),"",IF(AO305&lt;&gt;"",AO305-P305,TODAY()-P305))</f>
        <v/>
      </c>
      <c r="AS305" s="37"/>
    </row>
    <row r="306" customFormat="false" ht="21.75" hidden="false" customHeight="true" outlineLevel="0" collapsed="false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3" t="str">
        <f aca="false">IF(A306="","",SUM(Y306:AE306))</f>
        <v/>
      </c>
      <c r="AG306" s="43" t="str">
        <f aca="false">IF(AF306="","",ROUND(AF306*1.2/100,0)*100)</f>
        <v/>
      </c>
      <c r="AH306" s="43"/>
      <c r="AI306" s="43" t="str">
        <f aca="false">IF(AF306="","",ROUND(AF306*1.05/100,0)*100)</f>
        <v/>
      </c>
      <c r="AJ306" s="43" t="str">
        <f aca="false">IF(OR(AH306="",AF306=""),"",AH306-AF306)</f>
        <v/>
      </c>
      <c r="AK306" s="44" t="str">
        <f aca="false">IF(OR(AF306="",AF306=0),"",AJ306/AF306)</f>
        <v/>
      </c>
      <c r="AL306" s="43" t="str">
        <f aca="false">IF(AJ306="","",AJ306-AM306)</f>
        <v/>
      </c>
      <c r="AM306" s="45" t="str">
        <f aca="false">IF(OR(AH306="",AF306=""),"",ROUND((AH306-AF306)/1.2*0.2,2))</f>
        <v/>
      </c>
      <c r="AN306" s="44" t="str">
        <f aca="false">IF(OR(AF306="",AF306=0),"",AL306/AF306)</f>
        <v/>
      </c>
      <c r="AO306" s="42"/>
      <c r="AP306" s="42"/>
      <c r="AQ306" s="42"/>
      <c r="AR306" s="46" t="str">
        <f aca="true">IF(OR(A306="",P306=""),"",IF(AO306&lt;&gt;"",AO306-P306,TODAY()-P306))</f>
        <v/>
      </c>
      <c r="AS306" s="42"/>
    </row>
    <row r="307" customFormat="false" ht="21.75" hidden="false" customHeight="true" outlineLevel="0" collapsed="false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8" t="str">
        <f aca="false">IF(A307="","",SUM(Y307:AE307))</f>
        <v/>
      </c>
      <c r="AG307" s="38" t="str">
        <f aca="false">IF(AF307="","",ROUND(AF307*1.2/100,0)*100)</f>
        <v/>
      </c>
      <c r="AH307" s="38"/>
      <c r="AI307" s="38" t="str">
        <f aca="false">IF(AF307="","",ROUND(AF307*1.05/100,0)*100)</f>
        <v/>
      </c>
      <c r="AJ307" s="38" t="str">
        <f aca="false">IF(OR(AH307="",AF307=""),"",AH307-AF307)</f>
        <v/>
      </c>
      <c r="AK307" s="39" t="str">
        <f aca="false">IF(OR(AF307="",AF307=0),"",AJ307/AF307)</f>
        <v/>
      </c>
      <c r="AL307" s="38" t="str">
        <f aca="false">IF(AJ307="","",AJ307-AM307)</f>
        <v/>
      </c>
      <c r="AM307" s="40" t="str">
        <f aca="false">IF(OR(AH307="",AF307=""),"",ROUND((AH307-AF307)/1.2*0.2,2))</f>
        <v/>
      </c>
      <c r="AN307" s="39" t="str">
        <f aca="false">IF(OR(AF307="",AF307=0),"",AL307/AF307)</f>
        <v/>
      </c>
      <c r="AO307" s="37"/>
      <c r="AP307" s="37"/>
      <c r="AQ307" s="37"/>
      <c r="AR307" s="41" t="str">
        <f aca="true">IF(OR(A307="",P307=""),"",IF(AO307&lt;&gt;"",AO307-P307,TODAY()-P307))</f>
        <v/>
      </c>
      <c r="AS307" s="37"/>
    </row>
    <row r="308" customFormat="false" ht="21.75" hidden="false" customHeight="true" outlineLevel="0" collapsed="false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3" t="str">
        <f aca="false">IF(A308="","",SUM(Y308:AE308))</f>
        <v/>
      </c>
      <c r="AG308" s="43" t="str">
        <f aca="false">IF(AF308="","",ROUND(AF308*1.2/100,0)*100)</f>
        <v/>
      </c>
      <c r="AH308" s="43"/>
      <c r="AI308" s="43" t="str">
        <f aca="false">IF(AF308="","",ROUND(AF308*1.05/100,0)*100)</f>
        <v/>
      </c>
      <c r="AJ308" s="43" t="str">
        <f aca="false">IF(OR(AH308="",AF308=""),"",AH308-AF308)</f>
        <v/>
      </c>
      <c r="AK308" s="44" t="str">
        <f aca="false">IF(OR(AF308="",AF308=0),"",AJ308/AF308)</f>
        <v/>
      </c>
      <c r="AL308" s="43" t="str">
        <f aca="false">IF(AJ308="","",AJ308-AM308)</f>
        <v/>
      </c>
      <c r="AM308" s="45" t="str">
        <f aca="false">IF(OR(AH308="",AF308=""),"",ROUND((AH308-AF308)/1.2*0.2,2))</f>
        <v/>
      </c>
      <c r="AN308" s="44" t="str">
        <f aca="false">IF(OR(AF308="",AF308=0),"",AL308/AF308)</f>
        <v/>
      </c>
      <c r="AO308" s="42"/>
      <c r="AP308" s="42"/>
      <c r="AQ308" s="42"/>
      <c r="AR308" s="46" t="str">
        <f aca="true">IF(OR(A308="",P308=""),"",IF(AO308&lt;&gt;"",AO308-P308,TODAY()-P308))</f>
        <v/>
      </c>
      <c r="AS308" s="42"/>
    </row>
    <row r="309" customFormat="false" ht="21.75" hidden="false" customHeight="true" outlineLevel="0" collapsed="false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8" t="str">
        <f aca="false">IF(A309="","",SUM(Y309:AE309))</f>
        <v/>
      </c>
      <c r="AG309" s="38" t="str">
        <f aca="false">IF(AF309="","",ROUND(AF309*1.2/100,0)*100)</f>
        <v/>
      </c>
      <c r="AH309" s="38"/>
      <c r="AI309" s="38" t="str">
        <f aca="false">IF(AF309="","",ROUND(AF309*1.05/100,0)*100)</f>
        <v/>
      </c>
      <c r="AJ309" s="38" t="str">
        <f aca="false">IF(OR(AH309="",AF309=""),"",AH309-AF309)</f>
        <v/>
      </c>
      <c r="AK309" s="39" t="str">
        <f aca="false">IF(OR(AF309="",AF309=0),"",AJ309/AF309)</f>
        <v/>
      </c>
      <c r="AL309" s="38" t="str">
        <f aca="false">IF(AJ309="","",AJ309-AM309)</f>
        <v/>
      </c>
      <c r="AM309" s="40" t="str">
        <f aca="false">IF(OR(AH309="",AF309=""),"",ROUND((AH309-AF309)/1.2*0.2,2))</f>
        <v/>
      </c>
      <c r="AN309" s="39" t="str">
        <f aca="false">IF(OR(AF309="",AF309=0),"",AL309/AF309)</f>
        <v/>
      </c>
      <c r="AO309" s="37"/>
      <c r="AP309" s="37"/>
      <c r="AQ309" s="37"/>
      <c r="AR309" s="41" t="str">
        <f aca="true">IF(OR(A309="",P309=""),"",IF(AO309&lt;&gt;"",AO309-P309,TODAY()-P309))</f>
        <v/>
      </c>
      <c r="AS309" s="37"/>
    </row>
    <row r="310" customFormat="false" ht="21.75" hidden="false" customHeight="true" outlineLevel="0" collapsed="false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3" t="str">
        <f aca="false">IF(A310="","",SUM(Y310:AE310))</f>
        <v/>
      </c>
      <c r="AG310" s="43" t="str">
        <f aca="false">IF(AF310="","",ROUND(AF310*1.2/100,0)*100)</f>
        <v/>
      </c>
      <c r="AH310" s="43"/>
      <c r="AI310" s="43" t="str">
        <f aca="false">IF(AF310="","",ROUND(AF310*1.05/100,0)*100)</f>
        <v/>
      </c>
      <c r="AJ310" s="43" t="str">
        <f aca="false">IF(OR(AH310="",AF310=""),"",AH310-AF310)</f>
        <v/>
      </c>
      <c r="AK310" s="44" t="str">
        <f aca="false">IF(OR(AF310="",AF310=0),"",AJ310/AF310)</f>
        <v/>
      </c>
      <c r="AL310" s="43" t="str">
        <f aca="false">IF(AJ310="","",AJ310-AM310)</f>
        <v/>
      </c>
      <c r="AM310" s="45" t="str">
        <f aca="false">IF(OR(AH310="",AF310=""),"",ROUND((AH310-AF310)/1.2*0.2,2))</f>
        <v/>
      </c>
      <c r="AN310" s="44" t="str">
        <f aca="false">IF(OR(AF310="",AF310=0),"",AL310/AF310)</f>
        <v/>
      </c>
      <c r="AO310" s="42"/>
      <c r="AP310" s="42"/>
      <c r="AQ310" s="42"/>
      <c r="AR310" s="46" t="str">
        <f aca="true">IF(OR(A310="",P310=""),"",IF(AO310&lt;&gt;"",AO310-P310,TODAY()-P310))</f>
        <v/>
      </c>
      <c r="AS310" s="42"/>
    </row>
    <row r="311" customFormat="false" ht="21.75" hidden="false" customHeight="true" outlineLevel="0" collapsed="false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8" t="str">
        <f aca="false">IF(A311="","",SUM(Y311:AE311))</f>
        <v/>
      </c>
      <c r="AG311" s="38" t="str">
        <f aca="false">IF(AF311="","",ROUND(AF311*1.2/100,0)*100)</f>
        <v/>
      </c>
      <c r="AH311" s="38"/>
      <c r="AI311" s="38" t="str">
        <f aca="false">IF(AF311="","",ROUND(AF311*1.05/100,0)*100)</f>
        <v/>
      </c>
      <c r="AJ311" s="38" t="str">
        <f aca="false">IF(OR(AH311="",AF311=""),"",AH311-AF311)</f>
        <v/>
      </c>
      <c r="AK311" s="39" t="str">
        <f aca="false">IF(OR(AF311="",AF311=0),"",AJ311/AF311)</f>
        <v/>
      </c>
      <c r="AL311" s="38" t="str">
        <f aca="false">IF(AJ311="","",AJ311-AM311)</f>
        <v/>
      </c>
      <c r="AM311" s="40" t="str">
        <f aca="false">IF(OR(AH311="",AF311=""),"",ROUND((AH311-AF311)/1.2*0.2,2))</f>
        <v/>
      </c>
      <c r="AN311" s="39" t="str">
        <f aca="false">IF(OR(AF311="",AF311=0),"",AL311/AF311)</f>
        <v/>
      </c>
      <c r="AO311" s="37"/>
      <c r="AP311" s="37"/>
      <c r="AQ311" s="37"/>
      <c r="AR311" s="41" t="str">
        <f aca="true">IF(OR(A311="",P311=""),"",IF(AO311&lt;&gt;"",AO311-P311,TODAY()-P311))</f>
        <v/>
      </c>
      <c r="AS311" s="37"/>
    </row>
    <row r="312" customFormat="false" ht="21.75" hidden="false" customHeight="true" outlineLevel="0" collapsed="false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3" t="str">
        <f aca="false">IF(A312="","",SUM(Y312:AE312))</f>
        <v/>
      </c>
      <c r="AG312" s="43" t="str">
        <f aca="false">IF(AF312="","",ROUND(AF312*1.2/100,0)*100)</f>
        <v/>
      </c>
      <c r="AH312" s="43"/>
      <c r="AI312" s="43" t="str">
        <f aca="false">IF(AF312="","",ROUND(AF312*1.05/100,0)*100)</f>
        <v/>
      </c>
      <c r="AJ312" s="43" t="str">
        <f aca="false">IF(OR(AH312="",AF312=""),"",AH312-AF312)</f>
        <v/>
      </c>
      <c r="AK312" s="44" t="str">
        <f aca="false">IF(OR(AF312="",AF312=0),"",AJ312/AF312)</f>
        <v/>
      </c>
      <c r="AL312" s="43" t="str">
        <f aca="false">IF(AJ312="","",AJ312-AM312)</f>
        <v/>
      </c>
      <c r="AM312" s="45" t="str">
        <f aca="false">IF(OR(AH312="",AF312=""),"",ROUND((AH312-AF312)/1.2*0.2,2))</f>
        <v/>
      </c>
      <c r="AN312" s="44" t="str">
        <f aca="false">IF(OR(AF312="",AF312=0),"",AL312/AF312)</f>
        <v/>
      </c>
      <c r="AO312" s="42"/>
      <c r="AP312" s="42"/>
      <c r="AQ312" s="42"/>
      <c r="AR312" s="46" t="str">
        <f aca="true">IF(OR(A312="",P312=""),"",IF(AO312&lt;&gt;"",AO312-P312,TODAY()-P312))</f>
        <v/>
      </c>
      <c r="AS312" s="42"/>
    </row>
    <row r="313" customFormat="false" ht="21.75" hidden="false" customHeight="true" outlineLevel="0" collapsed="false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8" t="str">
        <f aca="false">IF(A313="","",SUM(Y313:AE313))</f>
        <v/>
      </c>
      <c r="AG313" s="38" t="str">
        <f aca="false">IF(AF313="","",ROUND(AF313*1.2/100,0)*100)</f>
        <v/>
      </c>
      <c r="AH313" s="38"/>
      <c r="AI313" s="38" t="str">
        <f aca="false">IF(AF313="","",ROUND(AF313*1.05/100,0)*100)</f>
        <v/>
      </c>
      <c r="AJ313" s="38" t="str">
        <f aca="false">IF(OR(AH313="",AF313=""),"",AH313-AF313)</f>
        <v/>
      </c>
      <c r="AK313" s="39" t="str">
        <f aca="false">IF(OR(AF313="",AF313=0),"",AJ313/AF313)</f>
        <v/>
      </c>
      <c r="AL313" s="38" t="str">
        <f aca="false">IF(AJ313="","",AJ313-AM313)</f>
        <v/>
      </c>
      <c r="AM313" s="40" t="str">
        <f aca="false">IF(OR(AH313="",AF313=""),"",ROUND((AH313-AF313)/1.2*0.2,2))</f>
        <v/>
      </c>
      <c r="AN313" s="39" t="str">
        <f aca="false">IF(OR(AF313="",AF313=0),"",AL313/AF313)</f>
        <v/>
      </c>
      <c r="AO313" s="37"/>
      <c r="AP313" s="37"/>
      <c r="AQ313" s="37"/>
      <c r="AR313" s="41" t="str">
        <f aca="true">IF(OR(A313="",P313=""),"",IF(AO313&lt;&gt;"",AO313-P313,TODAY()-P313))</f>
        <v/>
      </c>
      <c r="AS313" s="37"/>
    </row>
    <row r="314" customFormat="false" ht="21.75" hidden="false" customHeight="true" outlineLevel="0" collapsed="false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3" t="str">
        <f aca="false">IF(A314="","",SUM(Y314:AE314))</f>
        <v/>
      </c>
      <c r="AG314" s="43" t="str">
        <f aca="false">IF(AF314="","",ROUND(AF314*1.2/100,0)*100)</f>
        <v/>
      </c>
      <c r="AH314" s="43"/>
      <c r="AI314" s="43" t="str">
        <f aca="false">IF(AF314="","",ROUND(AF314*1.05/100,0)*100)</f>
        <v/>
      </c>
      <c r="AJ314" s="43" t="str">
        <f aca="false">IF(OR(AH314="",AF314=""),"",AH314-AF314)</f>
        <v/>
      </c>
      <c r="AK314" s="44" t="str">
        <f aca="false">IF(OR(AF314="",AF314=0),"",AJ314/AF314)</f>
        <v/>
      </c>
      <c r="AL314" s="43" t="str">
        <f aca="false">IF(AJ314="","",AJ314-AM314)</f>
        <v/>
      </c>
      <c r="AM314" s="45" t="str">
        <f aca="false">IF(OR(AH314="",AF314=""),"",ROUND((AH314-AF314)/1.2*0.2,2))</f>
        <v/>
      </c>
      <c r="AN314" s="44" t="str">
        <f aca="false">IF(OR(AF314="",AF314=0),"",AL314/AF314)</f>
        <v/>
      </c>
      <c r="AO314" s="42"/>
      <c r="AP314" s="42"/>
      <c r="AQ314" s="42"/>
      <c r="AR314" s="46" t="str">
        <f aca="true">IF(OR(A314="",P314=""),"",IF(AO314&lt;&gt;"",AO314-P314,TODAY()-P314))</f>
        <v/>
      </c>
      <c r="AS314" s="42"/>
    </row>
    <row r="315" customFormat="false" ht="21.75" hidden="false" customHeight="true" outlineLevel="0" collapsed="false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8" t="str">
        <f aca="false">IF(A315="","",SUM(Y315:AE315))</f>
        <v/>
      </c>
      <c r="AG315" s="38" t="str">
        <f aca="false">IF(AF315="","",ROUND(AF315*1.2/100,0)*100)</f>
        <v/>
      </c>
      <c r="AH315" s="38"/>
      <c r="AI315" s="38" t="str">
        <f aca="false">IF(AF315="","",ROUND(AF315*1.05/100,0)*100)</f>
        <v/>
      </c>
      <c r="AJ315" s="38" t="str">
        <f aca="false">IF(OR(AH315="",AF315=""),"",AH315-AF315)</f>
        <v/>
      </c>
      <c r="AK315" s="39" t="str">
        <f aca="false">IF(OR(AF315="",AF315=0),"",AJ315/AF315)</f>
        <v/>
      </c>
      <c r="AL315" s="38" t="str">
        <f aca="false">IF(AJ315="","",AJ315-AM315)</f>
        <v/>
      </c>
      <c r="AM315" s="40" t="str">
        <f aca="false">IF(OR(AH315="",AF315=""),"",ROUND((AH315-AF315)/1.2*0.2,2))</f>
        <v/>
      </c>
      <c r="AN315" s="39" t="str">
        <f aca="false">IF(OR(AF315="",AF315=0),"",AL315/AF315)</f>
        <v/>
      </c>
      <c r="AO315" s="37"/>
      <c r="AP315" s="37"/>
      <c r="AQ315" s="37"/>
      <c r="AR315" s="41" t="str">
        <f aca="true">IF(OR(A315="",P315=""),"",IF(AO315&lt;&gt;"",AO315-P315,TODAY()-P315))</f>
        <v/>
      </c>
      <c r="AS315" s="37"/>
    </row>
    <row r="316" customFormat="false" ht="21.75" hidden="false" customHeight="true" outlineLevel="0" collapsed="false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3" t="str">
        <f aca="false">IF(A316="","",SUM(Y316:AE316))</f>
        <v/>
      </c>
      <c r="AG316" s="43" t="str">
        <f aca="false">IF(AF316="","",ROUND(AF316*1.2/100,0)*100)</f>
        <v/>
      </c>
      <c r="AH316" s="43"/>
      <c r="AI316" s="43" t="str">
        <f aca="false">IF(AF316="","",ROUND(AF316*1.05/100,0)*100)</f>
        <v/>
      </c>
      <c r="AJ316" s="43" t="str">
        <f aca="false">IF(OR(AH316="",AF316=""),"",AH316-AF316)</f>
        <v/>
      </c>
      <c r="AK316" s="44" t="str">
        <f aca="false">IF(OR(AF316="",AF316=0),"",AJ316/AF316)</f>
        <v/>
      </c>
      <c r="AL316" s="43" t="str">
        <f aca="false">IF(AJ316="","",AJ316-AM316)</f>
        <v/>
      </c>
      <c r="AM316" s="45" t="str">
        <f aca="false">IF(OR(AH316="",AF316=""),"",ROUND((AH316-AF316)/1.2*0.2,2))</f>
        <v/>
      </c>
      <c r="AN316" s="44" t="str">
        <f aca="false">IF(OR(AF316="",AF316=0),"",AL316/AF316)</f>
        <v/>
      </c>
      <c r="AO316" s="42"/>
      <c r="AP316" s="42"/>
      <c r="AQ316" s="42"/>
      <c r="AR316" s="46" t="str">
        <f aca="true">IF(OR(A316="",P316=""),"",IF(AO316&lt;&gt;"",AO316-P316,TODAY()-P316))</f>
        <v/>
      </c>
      <c r="AS316" s="42"/>
    </row>
    <row r="317" customFormat="false" ht="21.75" hidden="false" customHeight="true" outlineLevel="0" collapsed="false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8" t="str">
        <f aca="false">IF(A317="","",SUM(Y317:AE317))</f>
        <v/>
      </c>
      <c r="AG317" s="38" t="str">
        <f aca="false">IF(AF317="","",ROUND(AF317*1.2/100,0)*100)</f>
        <v/>
      </c>
      <c r="AH317" s="38"/>
      <c r="AI317" s="38" t="str">
        <f aca="false">IF(AF317="","",ROUND(AF317*1.05/100,0)*100)</f>
        <v/>
      </c>
      <c r="AJ317" s="38" t="str">
        <f aca="false">IF(OR(AH317="",AF317=""),"",AH317-AF317)</f>
        <v/>
      </c>
      <c r="AK317" s="39" t="str">
        <f aca="false">IF(OR(AF317="",AF317=0),"",AJ317/AF317)</f>
        <v/>
      </c>
      <c r="AL317" s="38" t="str">
        <f aca="false">IF(AJ317="","",AJ317-AM317)</f>
        <v/>
      </c>
      <c r="AM317" s="40" t="str">
        <f aca="false">IF(OR(AH317="",AF317=""),"",ROUND((AH317-AF317)/1.2*0.2,2))</f>
        <v/>
      </c>
      <c r="AN317" s="39" t="str">
        <f aca="false">IF(OR(AF317="",AF317=0),"",AL317/AF317)</f>
        <v/>
      </c>
      <c r="AO317" s="37"/>
      <c r="AP317" s="37"/>
      <c r="AQ317" s="37"/>
      <c r="AR317" s="41" t="str">
        <f aca="true">IF(OR(A317="",P317=""),"",IF(AO317&lt;&gt;"",AO317-P317,TODAY()-P317))</f>
        <v/>
      </c>
      <c r="AS317" s="37"/>
    </row>
    <row r="318" customFormat="false" ht="21.75" hidden="false" customHeight="true" outlineLevel="0" collapsed="false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3" t="str">
        <f aca="false">IF(A318="","",SUM(Y318:AE318))</f>
        <v/>
      </c>
      <c r="AG318" s="43" t="str">
        <f aca="false">IF(AF318="","",ROUND(AF318*1.2/100,0)*100)</f>
        <v/>
      </c>
      <c r="AH318" s="43"/>
      <c r="AI318" s="43" t="str">
        <f aca="false">IF(AF318="","",ROUND(AF318*1.05/100,0)*100)</f>
        <v/>
      </c>
      <c r="AJ318" s="43" t="str">
        <f aca="false">IF(OR(AH318="",AF318=""),"",AH318-AF318)</f>
        <v/>
      </c>
      <c r="AK318" s="44" t="str">
        <f aca="false">IF(OR(AF318="",AF318=0),"",AJ318/AF318)</f>
        <v/>
      </c>
      <c r="AL318" s="43" t="str">
        <f aca="false">IF(AJ318="","",AJ318-AM318)</f>
        <v/>
      </c>
      <c r="AM318" s="45" t="str">
        <f aca="false">IF(OR(AH318="",AF318=""),"",ROUND((AH318-AF318)/1.2*0.2,2))</f>
        <v/>
      </c>
      <c r="AN318" s="44" t="str">
        <f aca="false">IF(OR(AF318="",AF318=0),"",AL318/AF318)</f>
        <v/>
      </c>
      <c r="AO318" s="42"/>
      <c r="AP318" s="42"/>
      <c r="AQ318" s="42"/>
      <c r="AR318" s="46" t="str">
        <f aca="true">IF(OR(A318="",P318=""),"",IF(AO318&lt;&gt;"",AO318-P318,TODAY()-P318))</f>
        <v/>
      </c>
      <c r="AS318" s="42"/>
    </row>
    <row r="319" customFormat="false" ht="21.75" hidden="false" customHeight="true" outlineLevel="0" collapsed="false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8" t="str">
        <f aca="false">IF(A319="","",SUM(Y319:AE319))</f>
        <v/>
      </c>
      <c r="AG319" s="38" t="str">
        <f aca="false">IF(AF319="","",ROUND(AF319*1.2/100,0)*100)</f>
        <v/>
      </c>
      <c r="AH319" s="38"/>
      <c r="AI319" s="38" t="str">
        <f aca="false">IF(AF319="","",ROUND(AF319*1.05/100,0)*100)</f>
        <v/>
      </c>
      <c r="AJ319" s="38" t="str">
        <f aca="false">IF(OR(AH319="",AF319=""),"",AH319-AF319)</f>
        <v/>
      </c>
      <c r="AK319" s="39" t="str">
        <f aca="false">IF(OR(AF319="",AF319=0),"",AJ319/AF319)</f>
        <v/>
      </c>
      <c r="AL319" s="38" t="str">
        <f aca="false">IF(AJ319="","",AJ319-AM319)</f>
        <v/>
      </c>
      <c r="AM319" s="40" t="str">
        <f aca="false">IF(OR(AH319="",AF319=""),"",ROUND((AH319-AF319)/1.2*0.2,2))</f>
        <v/>
      </c>
      <c r="AN319" s="39" t="str">
        <f aca="false">IF(OR(AF319="",AF319=0),"",AL319/AF319)</f>
        <v/>
      </c>
      <c r="AO319" s="37"/>
      <c r="AP319" s="37"/>
      <c r="AQ319" s="37"/>
      <c r="AR319" s="41" t="str">
        <f aca="true">IF(OR(A319="",P319=""),"",IF(AO319&lt;&gt;"",AO319-P319,TODAY()-P319))</f>
        <v/>
      </c>
      <c r="AS319" s="37"/>
    </row>
    <row r="320" customFormat="false" ht="21.75" hidden="false" customHeight="true" outlineLevel="0" collapsed="false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3" t="str">
        <f aca="false">IF(A320="","",SUM(Y320:AE320))</f>
        <v/>
      </c>
      <c r="AG320" s="43" t="str">
        <f aca="false">IF(AF320="","",ROUND(AF320*1.2/100,0)*100)</f>
        <v/>
      </c>
      <c r="AH320" s="43"/>
      <c r="AI320" s="43" t="str">
        <f aca="false">IF(AF320="","",ROUND(AF320*1.05/100,0)*100)</f>
        <v/>
      </c>
      <c r="AJ320" s="43" t="str">
        <f aca="false">IF(OR(AH320="",AF320=""),"",AH320-AF320)</f>
        <v/>
      </c>
      <c r="AK320" s="44" t="str">
        <f aca="false">IF(OR(AF320="",AF320=0),"",AJ320/AF320)</f>
        <v/>
      </c>
      <c r="AL320" s="43" t="str">
        <f aca="false">IF(AJ320="","",AJ320-AM320)</f>
        <v/>
      </c>
      <c r="AM320" s="45" t="str">
        <f aca="false">IF(OR(AH320="",AF320=""),"",ROUND((AH320-AF320)/1.2*0.2,2))</f>
        <v/>
      </c>
      <c r="AN320" s="44" t="str">
        <f aca="false">IF(OR(AF320="",AF320=0),"",AL320/AF320)</f>
        <v/>
      </c>
      <c r="AO320" s="42"/>
      <c r="AP320" s="42"/>
      <c r="AQ320" s="42"/>
      <c r="AR320" s="46" t="str">
        <f aca="true">IF(OR(A320="",P320=""),"",IF(AO320&lt;&gt;"",AO320-P320,TODAY()-P320))</f>
        <v/>
      </c>
      <c r="AS320" s="42"/>
    </row>
    <row r="321" customFormat="false" ht="21.75" hidden="false" customHeight="true" outlineLevel="0" collapsed="false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8" t="str">
        <f aca="false">IF(A321="","",SUM(Y321:AE321))</f>
        <v/>
      </c>
      <c r="AG321" s="38" t="str">
        <f aca="false">IF(AF321="","",ROUND(AF321*1.2/100,0)*100)</f>
        <v/>
      </c>
      <c r="AH321" s="38"/>
      <c r="AI321" s="38" t="str">
        <f aca="false">IF(AF321="","",ROUND(AF321*1.05/100,0)*100)</f>
        <v/>
      </c>
      <c r="AJ321" s="38" t="str">
        <f aca="false">IF(OR(AH321="",AF321=""),"",AH321-AF321)</f>
        <v/>
      </c>
      <c r="AK321" s="39" t="str">
        <f aca="false">IF(OR(AF321="",AF321=0),"",AJ321/AF321)</f>
        <v/>
      </c>
      <c r="AL321" s="38" t="str">
        <f aca="false">IF(AJ321="","",AJ321-AM321)</f>
        <v/>
      </c>
      <c r="AM321" s="40" t="str">
        <f aca="false">IF(OR(AH321="",AF321=""),"",ROUND((AH321-AF321)/1.2*0.2,2))</f>
        <v/>
      </c>
      <c r="AN321" s="39" t="str">
        <f aca="false">IF(OR(AF321="",AF321=0),"",AL321/AF321)</f>
        <v/>
      </c>
      <c r="AO321" s="37"/>
      <c r="AP321" s="37"/>
      <c r="AQ321" s="37"/>
      <c r="AR321" s="41" t="str">
        <f aca="true">IF(OR(A321="",P321=""),"",IF(AO321&lt;&gt;"",AO321-P321,TODAY()-P321))</f>
        <v/>
      </c>
      <c r="AS321" s="37"/>
    </row>
    <row r="322" customFormat="false" ht="21.75" hidden="false" customHeight="true" outlineLevel="0" collapsed="false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3" t="str">
        <f aca="false">IF(A322="","",SUM(Y322:AE322))</f>
        <v/>
      </c>
      <c r="AG322" s="43" t="str">
        <f aca="false">IF(AF322="","",ROUND(AF322*1.2/100,0)*100)</f>
        <v/>
      </c>
      <c r="AH322" s="43"/>
      <c r="AI322" s="43" t="str">
        <f aca="false">IF(AF322="","",ROUND(AF322*1.05/100,0)*100)</f>
        <v/>
      </c>
      <c r="AJ322" s="43" t="str">
        <f aca="false">IF(OR(AH322="",AF322=""),"",AH322-AF322)</f>
        <v/>
      </c>
      <c r="AK322" s="44" t="str">
        <f aca="false">IF(OR(AF322="",AF322=0),"",AJ322/AF322)</f>
        <v/>
      </c>
      <c r="AL322" s="43" t="str">
        <f aca="false">IF(AJ322="","",AJ322-AM322)</f>
        <v/>
      </c>
      <c r="AM322" s="45" t="str">
        <f aca="false">IF(OR(AH322="",AF322=""),"",ROUND((AH322-AF322)/1.2*0.2,2))</f>
        <v/>
      </c>
      <c r="AN322" s="44" t="str">
        <f aca="false">IF(OR(AF322="",AF322=0),"",AL322/AF322)</f>
        <v/>
      </c>
      <c r="AO322" s="42"/>
      <c r="AP322" s="42"/>
      <c r="AQ322" s="42"/>
      <c r="AR322" s="46" t="str">
        <f aca="true">IF(OR(A322="",P322=""),"",IF(AO322&lt;&gt;"",AO322-P322,TODAY()-P322))</f>
        <v/>
      </c>
      <c r="AS322" s="42"/>
    </row>
    <row r="323" customFormat="false" ht="21.75" hidden="false" customHeight="true" outlineLevel="0" collapsed="false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8" t="str">
        <f aca="false">IF(A323="","",SUM(Y323:AE323))</f>
        <v/>
      </c>
      <c r="AG323" s="38" t="str">
        <f aca="false">IF(AF323="","",ROUND(AF323*1.2/100,0)*100)</f>
        <v/>
      </c>
      <c r="AH323" s="38"/>
      <c r="AI323" s="38" t="str">
        <f aca="false">IF(AF323="","",ROUND(AF323*1.05/100,0)*100)</f>
        <v/>
      </c>
      <c r="AJ323" s="38" t="str">
        <f aca="false">IF(OR(AH323="",AF323=""),"",AH323-AF323)</f>
        <v/>
      </c>
      <c r="AK323" s="39" t="str">
        <f aca="false">IF(OR(AF323="",AF323=0),"",AJ323/AF323)</f>
        <v/>
      </c>
      <c r="AL323" s="38" t="str">
        <f aca="false">IF(AJ323="","",AJ323-AM323)</f>
        <v/>
      </c>
      <c r="AM323" s="40" t="str">
        <f aca="false">IF(OR(AH323="",AF323=""),"",ROUND((AH323-AF323)/1.2*0.2,2))</f>
        <v/>
      </c>
      <c r="AN323" s="39" t="str">
        <f aca="false">IF(OR(AF323="",AF323=0),"",AL323/AF323)</f>
        <v/>
      </c>
      <c r="AO323" s="37"/>
      <c r="AP323" s="37"/>
      <c r="AQ323" s="37"/>
      <c r="AR323" s="41" t="str">
        <f aca="true">IF(OR(A323="",P323=""),"",IF(AO323&lt;&gt;"",AO323-P323,TODAY()-P323))</f>
        <v/>
      </c>
      <c r="AS323" s="37"/>
    </row>
    <row r="324" customFormat="false" ht="21.75" hidden="false" customHeight="true" outlineLevel="0" collapsed="false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3" t="str">
        <f aca="false">IF(A324="","",SUM(Y324:AE324))</f>
        <v/>
      </c>
      <c r="AG324" s="43" t="str">
        <f aca="false">IF(AF324="","",ROUND(AF324*1.2/100,0)*100)</f>
        <v/>
      </c>
      <c r="AH324" s="43"/>
      <c r="AI324" s="43" t="str">
        <f aca="false">IF(AF324="","",ROUND(AF324*1.05/100,0)*100)</f>
        <v/>
      </c>
      <c r="AJ324" s="43" t="str">
        <f aca="false">IF(OR(AH324="",AF324=""),"",AH324-AF324)</f>
        <v/>
      </c>
      <c r="AK324" s="44" t="str">
        <f aca="false">IF(OR(AF324="",AF324=0),"",AJ324/AF324)</f>
        <v/>
      </c>
      <c r="AL324" s="43" t="str">
        <f aca="false">IF(AJ324="","",AJ324-AM324)</f>
        <v/>
      </c>
      <c r="AM324" s="45" t="str">
        <f aca="false">IF(OR(AH324="",AF324=""),"",ROUND((AH324-AF324)/1.2*0.2,2))</f>
        <v/>
      </c>
      <c r="AN324" s="44" t="str">
        <f aca="false">IF(OR(AF324="",AF324=0),"",AL324/AF324)</f>
        <v/>
      </c>
      <c r="AO324" s="42"/>
      <c r="AP324" s="42"/>
      <c r="AQ324" s="42"/>
      <c r="AR324" s="46" t="str">
        <f aca="true">IF(OR(A324="",P324=""),"",IF(AO324&lt;&gt;"",AO324-P324,TODAY()-P324))</f>
        <v/>
      </c>
      <c r="AS324" s="42"/>
    </row>
    <row r="325" customFormat="false" ht="21.75" hidden="false" customHeight="true" outlineLevel="0" collapsed="false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8" t="str">
        <f aca="false">IF(A325="","",SUM(Y325:AE325))</f>
        <v/>
      </c>
      <c r="AG325" s="38" t="str">
        <f aca="false">IF(AF325="","",ROUND(AF325*1.2/100,0)*100)</f>
        <v/>
      </c>
      <c r="AH325" s="38"/>
      <c r="AI325" s="38" t="str">
        <f aca="false">IF(AF325="","",ROUND(AF325*1.05/100,0)*100)</f>
        <v/>
      </c>
      <c r="AJ325" s="38" t="str">
        <f aca="false">IF(OR(AH325="",AF325=""),"",AH325-AF325)</f>
        <v/>
      </c>
      <c r="AK325" s="39" t="str">
        <f aca="false">IF(OR(AF325="",AF325=0),"",AJ325/AF325)</f>
        <v/>
      </c>
      <c r="AL325" s="38" t="str">
        <f aca="false">IF(AJ325="","",AJ325-AM325)</f>
        <v/>
      </c>
      <c r="AM325" s="40" t="str">
        <f aca="false">IF(OR(AH325="",AF325=""),"",ROUND((AH325-AF325)/1.2*0.2,2))</f>
        <v/>
      </c>
      <c r="AN325" s="39" t="str">
        <f aca="false">IF(OR(AF325="",AF325=0),"",AL325/AF325)</f>
        <v/>
      </c>
      <c r="AO325" s="37"/>
      <c r="AP325" s="37"/>
      <c r="AQ325" s="37"/>
      <c r="AR325" s="41" t="str">
        <f aca="true">IF(OR(A325="",P325=""),"",IF(AO325&lt;&gt;"",AO325-P325,TODAY()-P325))</f>
        <v/>
      </c>
      <c r="AS325" s="37"/>
    </row>
    <row r="326" customFormat="false" ht="21.75" hidden="false" customHeight="true" outlineLevel="0" collapsed="false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3" t="str">
        <f aca="false">IF(A326="","",SUM(Y326:AE326))</f>
        <v/>
      </c>
      <c r="AG326" s="43" t="str">
        <f aca="false">IF(AF326="","",ROUND(AF326*1.2/100,0)*100)</f>
        <v/>
      </c>
      <c r="AH326" s="43"/>
      <c r="AI326" s="43" t="str">
        <f aca="false">IF(AF326="","",ROUND(AF326*1.05/100,0)*100)</f>
        <v/>
      </c>
      <c r="AJ326" s="43" t="str">
        <f aca="false">IF(OR(AH326="",AF326=""),"",AH326-AF326)</f>
        <v/>
      </c>
      <c r="AK326" s="44" t="str">
        <f aca="false">IF(OR(AF326="",AF326=0),"",AJ326/AF326)</f>
        <v/>
      </c>
      <c r="AL326" s="43" t="str">
        <f aca="false">IF(AJ326="","",AJ326-AM326)</f>
        <v/>
      </c>
      <c r="AM326" s="45" t="str">
        <f aca="false">IF(OR(AH326="",AF326=""),"",ROUND((AH326-AF326)/1.2*0.2,2))</f>
        <v/>
      </c>
      <c r="AN326" s="44" t="str">
        <f aca="false">IF(OR(AF326="",AF326=0),"",AL326/AF326)</f>
        <v/>
      </c>
      <c r="AO326" s="42"/>
      <c r="AP326" s="42"/>
      <c r="AQ326" s="42"/>
      <c r="AR326" s="46" t="str">
        <f aca="true">IF(OR(A326="",P326=""),"",IF(AO326&lt;&gt;"",AO326-P326,TODAY()-P326))</f>
        <v/>
      </c>
      <c r="AS326" s="42"/>
    </row>
    <row r="327" customFormat="false" ht="21.75" hidden="false" customHeight="true" outlineLevel="0" collapsed="false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8" t="str">
        <f aca="false">IF(A327="","",SUM(Y327:AE327))</f>
        <v/>
      </c>
      <c r="AG327" s="38" t="str">
        <f aca="false">IF(AF327="","",ROUND(AF327*1.2/100,0)*100)</f>
        <v/>
      </c>
      <c r="AH327" s="38"/>
      <c r="AI327" s="38" t="str">
        <f aca="false">IF(AF327="","",ROUND(AF327*1.05/100,0)*100)</f>
        <v/>
      </c>
      <c r="AJ327" s="38" t="str">
        <f aca="false">IF(OR(AH327="",AF327=""),"",AH327-AF327)</f>
        <v/>
      </c>
      <c r="AK327" s="39" t="str">
        <f aca="false">IF(OR(AF327="",AF327=0),"",AJ327/AF327)</f>
        <v/>
      </c>
      <c r="AL327" s="38" t="str">
        <f aca="false">IF(AJ327="","",AJ327-AM327)</f>
        <v/>
      </c>
      <c r="AM327" s="40" t="str">
        <f aca="false">IF(OR(AH327="",AF327=""),"",ROUND((AH327-AF327)/1.2*0.2,2))</f>
        <v/>
      </c>
      <c r="AN327" s="39" t="str">
        <f aca="false">IF(OR(AF327="",AF327=0),"",AL327/AF327)</f>
        <v/>
      </c>
      <c r="AO327" s="37"/>
      <c r="AP327" s="37"/>
      <c r="AQ327" s="37"/>
      <c r="AR327" s="41" t="str">
        <f aca="true">IF(OR(A327="",P327=""),"",IF(AO327&lt;&gt;"",AO327-P327,TODAY()-P327))</f>
        <v/>
      </c>
      <c r="AS327" s="37"/>
    </row>
    <row r="328" customFormat="false" ht="21.75" hidden="false" customHeight="true" outlineLevel="0" collapsed="false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3" t="str">
        <f aca="false">IF(A328="","",SUM(Y328:AE328))</f>
        <v/>
      </c>
      <c r="AG328" s="43" t="str">
        <f aca="false">IF(AF328="","",ROUND(AF328*1.2/100,0)*100)</f>
        <v/>
      </c>
      <c r="AH328" s="43"/>
      <c r="AI328" s="43" t="str">
        <f aca="false">IF(AF328="","",ROUND(AF328*1.05/100,0)*100)</f>
        <v/>
      </c>
      <c r="AJ328" s="43" t="str">
        <f aca="false">IF(OR(AH328="",AF328=""),"",AH328-AF328)</f>
        <v/>
      </c>
      <c r="AK328" s="44" t="str">
        <f aca="false">IF(OR(AF328="",AF328=0),"",AJ328/AF328)</f>
        <v/>
      </c>
      <c r="AL328" s="43" t="str">
        <f aca="false">IF(AJ328="","",AJ328-AM328)</f>
        <v/>
      </c>
      <c r="AM328" s="45" t="str">
        <f aca="false">IF(OR(AH328="",AF328=""),"",ROUND((AH328-AF328)/1.2*0.2,2))</f>
        <v/>
      </c>
      <c r="AN328" s="44" t="str">
        <f aca="false">IF(OR(AF328="",AF328=0),"",AL328/AF328)</f>
        <v/>
      </c>
      <c r="AO328" s="42"/>
      <c r="AP328" s="42"/>
      <c r="AQ328" s="42"/>
      <c r="AR328" s="46" t="str">
        <f aca="true">IF(OR(A328="",P328=""),"",IF(AO328&lt;&gt;"",AO328-P328,TODAY()-P328))</f>
        <v/>
      </c>
      <c r="AS328" s="42"/>
    </row>
    <row r="329" customFormat="false" ht="21.75" hidden="false" customHeight="true" outlineLevel="0" collapsed="false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8" t="str">
        <f aca="false">IF(A329="","",SUM(Y329:AE329))</f>
        <v/>
      </c>
      <c r="AG329" s="38" t="str">
        <f aca="false">IF(AF329="","",ROUND(AF329*1.2/100,0)*100)</f>
        <v/>
      </c>
      <c r="AH329" s="38"/>
      <c r="AI329" s="38" t="str">
        <f aca="false">IF(AF329="","",ROUND(AF329*1.05/100,0)*100)</f>
        <v/>
      </c>
      <c r="AJ329" s="38" t="str">
        <f aca="false">IF(OR(AH329="",AF329=""),"",AH329-AF329)</f>
        <v/>
      </c>
      <c r="AK329" s="39" t="str">
        <f aca="false">IF(OR(AF329="",AF329=0),"",AJ329/AF329)</f>
        <v/>
      </c>
      <c r="AL329" s="38" t="str">
        <f aca="false">IF(AJ329="","",AJ329-AM329)</f>
        <v/>
      </c>
      <c r="AM329" s="40" t="str">
        <f aca="false">IF(OR(AH329="",AF329=""),"",ROUND((AH329-AF329)/1.2*0.2,2))</f>
        <v/>
      </c>
      <c r="AN329" s="39" t="str">
        <f aca="false">IF(OR(AF329="",AF329=0),"",AL329/AF329)</f>
        <v/>
      </c>
      <c r="AO329" s="37"/>
      <c r="AP329" s="37"/>
      <c r="AQ329" s="37"/>
      <c r="AR329" s="41" t="str">
        <f aca="true">IF(OR(A329="",P329=""),"",IF(AO329&lt;&gt;"",AO329-P329,TODAY()-P329))</f>
        <v/>
      </c>
      <c r="AS329" s="37"/>
    </row>
    <row r="330" customFormat="false" ht="21.75" hidden="false" customHeight="true" outlineLevel="0" collapsed="false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3" t="str">
        <f aca="false">IF(A330="","",SUM(Y330:AE330))</f>
        <v/>
      </c>
      <c r="AG330" s="43" t="str">
        <f aca="false">IF(AF330="","",ROUND(AF330*1.2/100,0)*100)</f>
        <v/>
      </c>
      <c r="AH330" s="43"/>
      <c r="AI330" s="43" t="str">
        <f aca="false">IF(AF330="","",ROUND(AF330*1.05/100,0)*100)</f>
        <v/>
      </c>
      <c r="AJ330" s="43" t="str">
        <f aca="false">IF(OR(AH330="",AF330=""),"",AH330-AF330)</f>
        <v/>
      </c>
      <c r="AK330" s="44" t="str">
        <f aca="false">IF(OR(AF330="",AF330=0),"",AJ330/AF330)</f>
        <v/>
      </c>
      <c r="AL330" s="43" t="str">
        <f aca="false">IF(AJ330="","",AJ330-AM330)</f>
        <v/>
      </c>
      <c r="AM330" s="45" t="str">
        <f aca="false">IF(OR(AH330="",AF330=""),"",ROUND((AH330-AF330)/1.2*0.2,2))</f>
        <v/>
      </c>
      <c r="AN330" s="44" t="str">
        <f aca="false">IF(OR(AF330="",AF330=0),"",AL330/AF330)</f>
        <v/>
      </c>
      <c r="AO330" s="42"/>
      <c r="AP330" s="42"/>
      <c r="AQ330" s="42"/>
      <c r="AR330" s="46" t="str">
        <f aca="true">IF(OR(A330="",P330=""),"",IF(AO330&lt;&gt;"",AO330-P330,TODAY()-P330))</f>
        <v/>
      </c>
      <c r="AS330" s="42"/>
    </row>
    <row r="331" customFormat="false" ht="21.75" hidden="false" customHeight="true" outlineLevel="0" collapsed="false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8" t="str">
        <f aca="false">IF(A331="","",SUM(Y331:AE331))</f>
        <v/>
      </c>
      <c r="AG331" s="38" t="str">
        <f aca="false">IF(AF331="","",ROUND(AF331*1.2/100,0)*100)</f>
        <v/>
      </c>
      <c r="AH331" s="38"/>
      <c r="AI331" s="38" t="str">
        <f aca="false">IF(AF331="","",ROUND(AF331*1.05/100,0)*100)</f>
        <v/>
      </c>
      <c r="AJ331" s="38" t="str">
        <f aca="false">IF(OR(AH331="",AF331=""),"",AH331-AF331)</f>
        <v/>
      </c>
      <c r="AK331" s="39" t="str">
        <f aca="false">IF(OR(AF331="",AF331=0),"",AJ331/AF331)</f>
        <v/>
      </c>
      <c r="AL331" s="38" t="str">
        <f aca="false">IF(AJ331="","",AJ331-AM331)</f>
        <v/>
      </c>
      <c r="AM331" s="40" t="str">
        <f aca="false">IF(OR(AH331="",AF331=""),"",ROUND((AH331-AF331)/1.2*0.2,2))</f>
        <v/>
      </c>
      <c r="AN331" s="39" t="str">
        <f aca="false">IF(OR(AF331="",AF331=0),"",AL331/AF331)</f>
        <v/>
      </c>
      <c r="AO331" s="37"/>
      <c r="AP331" s="37"/>
      <c r="AQ331" s="37"/>
      <c r="AR331" s="41" t="str">
        <f aca="true">IF(OR(A331="",P331=""),"",IF(AO331&lt;&gt;"",AO331-P331,TODAY()-P331))</f>
        <v/>
      </c>
      <c r="AS331" s="37"/>
    </row>
    <row r="332" customFormat="false" ht="21.75" hidden="false" customHeight="true" outlineLevel="0" collapsed="false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3" t="str">
        <f aca="false">IF(A332="","",SUM(Y332:AE332))</f>
        <v/>
      </c>
      <c r="AG332" s="43" t="str">
        <f aca="false">IF(AF332="","",ROUND(AF332*1.2/100,0)*100)</f>
        <v/>
      </c>
      <c r="AH332" s="43"/>
      <c r="AI332" s="43" t="str">
        <f aca="false">IF(AF332="","",ROUND(AF332*1.05/100,0)*100)</f>
        <v/>
      </c>
      <c r="AJ332" s="43" t="str">
        <f aca="false">IF(OR(AH332="",AF332=""),"",AH332-AF332)</f>
        <v/>
      </c>
      <c r="AK332" s="44" t="str">
        <f aca="false">IF(OR(AF332="",AF332=0),"",AJ332/AF332)</f>
        <v/>
      </c>
      <c r="AL332" s="43" t="str">
        <f aca="false">IF(AJ332="","",AJ332-AM332)</f>
        <v/>
      </c>
      <c r="AM332" s="45" t="str">
        <f aca="false">IF(OR(AH332="",AF332=""),"",ROUND((AH332-AF332)/1.2*0.2,2))</f>
        <v/>
      </c>
      <c r="AN332" s="44" t="str">
        <f aca="false">IF(OR(AF332="",AF332=0),"",AL332/AF332)</f>
        <v/>
      </c>
      <c r="AO332" s="42"/>
      <c r="AP332" s="42"/>
      <c r="AQ332" s="42"/>
      <c r="AR332" s="46" t="str">
        <f aca="true">IF(OR(A332="",P332=""),"",IF(AO332&lt;&gt;"",AO332-P332,TODAY()-P332))</f>
        <v/>
      </c>
      <c r="AS332" s="42"/>
    </row>
    <row r="333" customFormat="false" ht="21.75" hidden="false" customHeight="true" outlineLevel="0" collapsed="false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8" t="str">
        <f aca="false">IF(A333="","",SUM(Y333:AE333))</f>
        <v/>
      </c>
      <c r="AG333" s="38" t="str">
        <f aca="false">IF(AF333="","",ROUND(AF333*1.2/100,0)*100)</f>
        <v/>
      </c>
      <c r="AH333" s="38"/>
      <c r="AI333" s="38" t="str">
        <f aca="false">IF(AF333="","",ROUND(AF333*1.05/100,0)*100)</f>
        <v/>
      </c>
      <c r="AJ333" s="38" t="str">
        <f aca="false">IF(OR(AH333="",AF333=""),"",AH333-AF333)</f>
        <v/>
      </c>
      <c r="AK333" s="39" t="str">
        <f aca="false">IF(OR(AF333="",AF333=0),"",AJ333/AF333)</f>
        <v/>
      </c>
      <c r="AL333" s="38" t="str">
        <f aca="false">IF(AJ333="","",AJ333-AM333)</f>
        <v/>
      </c>
      <c r="AM333" s="40" t="str">
        <f aca="false">IF(OR(AH333="",AF333=""),"",ROUND((AH333-AF333)/1.2*0.2,2))</f>
        <v/>
      </c>
      <c r="AN333" s="39" t="str">
        <f aca="false">IF(OR(AF333="",AF333=0),"",AL333/AF333)</f>
        <v/>
      </c>
      <c r="AO333" s="37"/>
      <c r="AP333" s="37"/>
      <c r="AQ333" s="37"/>
      <c r="AR333" s="41" t="str">
        <f aca="true">IF(OR(A333="",P333=""),"",IF(AO333&lt;&gt;"",AO333-P333,TODAY()-P333))</f>
        <v/>
      </c>
      <c r="AS333" s="37"/>
    </row>
    <row r="334" customFormat="false" ht="21.75" hidden="false" customHeight="true" outlineLevel="0" collapsed="false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3" t="str">
        <f aca="false">IF(A334="","",SUM(Y334:AE334))</f>
        <v/>
      </c>
      <c r="AG334" s="43" t="str">
        <f aca="false">IF(AF334="","",ROUND(AF334*1.2/100,0)*100)</f>
        <v/>
      </c>
      <c r="AH334" s="43"/>
      <c r="AI334" s="43" t="str">
        <f aca="false">IF(AF334="","",ROUND(AF334*1.05/100,0)*100)</f>
        <v/>
      </c>
      <c r="AJ334" s="43" t="str">
        <f aca="false">IF(OR(AH334="",AF334=""),"",AH334-AF334)</f>
        <v/>
      </c>
      <c r="AK334" s="44" t="str">
        <f aca="false">IF(OR(AF334="",AF334=0),"",AJ334/AF334)</f>
        <v/>
      </c>
      <c r="AL334" s="43" t="str">
        <f aca="false">IF(AJ334="","",AJ334-AM334)</f>
        <v/>
      </c>
      <c r="AM334" s="45" t="str">
        <f aca="false">IF(OR(AH334="",AF334=""),"",ROUND((AH334-AF334)/1.2*0.2,2))</f>
        <v/>
      </c>
      <c r="AN334" s="44" t="str">
        <f aca="false">IF(OR(AF334="",AF334=0),"",AL334/AF334)</f>
        <v/>
      </c>
      <c r="AO334" s="42"/>
      <c r="AP334" s="42"/>
      <c r="AQ334" s="42"/>
      <c r="AR334" s="46" t="str">
        <f aca="true">IF(OR(A334="",P334=""),"",IF(AO334&lt;&gt;"",AO334-P334,TODAY()-P334))</f>
        <v/>
      </c>
      <c r="AS334" s="42"/>
    </row>
    <row r="335" customFormat="false" ht="21.75" hidden="false" customHeight="true" outlineLevel="0" collapsed="false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8" t="str">
        <f aca="false">IF(A335="","",SUM(Y335:AE335))</f>
        <v/>
      </c>
      <c r="AG335" s="38" t="str">
        <f aca="false">IF(AF335="","",ROUND(AF335*1.2/100,0)*100)</f>
        <v/>
      </c>
      <c r="AH335" s="38"/>
      <c r="AI335" s="38" t="str">
        <f aca="false">IF(AF335="","",ROUND(AF335*1.05/100,0)*100)</f>
        <v/>
      </c>
      <c r="AJ335" s="38" t="str">
        <f aca="false">IF(OR(AH335="",AF335=""),"",AH335-AF335)</f>
        <v/>
      </c>
      <c r="AK335" s="39" t="str">
        <f aca="false">IF(OR(AF335="",AF335=0),"",AJ335/AF335)</f>
        <v/>
      </c>
      <c r="AL335" s="38" t="str">
        <f aca="false">IF(AJ335="","",AJ335-AM335)</f>
        <v/>
      </c>
      <c r="AM335" s="40" t="str">
        <f aca="false">IF(OR(AH335="",AF335=""),"",ROUND((AH335-AF335)/1.2*0.2,2))</f>
        <v/>
      </c>
      <c r="AN335" s="39" t="str">
        <f aca="false">IF(OR(AF335="",AF335=0),"",AL335/AF335)</f>
        <v/>
      </c>
      <c r="AO335" s="37"/>
      <c r="AP335" s="37"/>
      <c r="AQ335" s="37"/>
      <c r="AR335" s="41" t="str">
        <f aca="true">IF(OR(A335="",P335=""),"",IF(AO335&lt;&gt;"",AO335-P335,TODAY()-P335))</f>
        <v/>
      </c>
      <c r="AS335" s="37"/>
    </row>
    <row r="336" customFormat="false" ht="21.75" hidden="false" customHeight="true" outlineLevel="0" collapsed="false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3" t="str">
        <f aca="false">IF(A336="","",SUM(Y336:AE336))</f>
        <v/>
      </c>
      <c r="AG336" s="43" t="str">
        <f aca="false">IF(AF336="","",ROUND(AF336*1.2/100,0)*100)</f>
        <v/>
      </c>
      <c r="AH336" s="43"/>
      <c r="AI336" s="43" t="str">
        <f aca="false">IF(AF336="","",ROUND(AF336*1.05/100,0)*100)</f>
        <v/>
      </c>
      <c r="AJ336" s="43" t="str">
        <f aca="false">IF(OR(AH336="",AF336=""),"",AH336-AF336)</f>
        <v/>
      </c>
      <c r="AK336" s="44" t="str">
        <f aca="false">IF(OR(AF336="",AF336=0),"",AJ336/AF336)</f>
        <v/>
      </c>
      <c r="AL336" s="43" t="str">
        <f aca="false">IF(AJ336="","",AJ336-AM336)</f>
        <v/>
      </c>
      <c r="AM336" s="45" t="str">
        <f aca="false">IF(OR(AH336="",AF336=""),"",ROUND((AH336-AF336)/1.2*0.2,2))</f>
        <v/>
      </c>
      <c r="AN336" s="44" t="str">
        <f aca="false">IF(OR(AF336="",AF336=0),"",AL336/AF336)</f>
        <v/>
      </c>
      <c r="AO336" s="42"/>
      <c r="AP336" s="42"/>
      <c r="AQ336" s="42"/>
      <c r="AR336" s="46" t="str">
        <f aca="true">IF(OR(A336="",P336=""),"",IF(AO336&lt;&gt;"",AO336-P336,TODAY()-P336))</f>
        <v/>
      </c>
      <c r="AS336" s="42"/>
    </row>
    <row r="337" customFormat="false" ht="21.75" hidden="false" customHeight="true" outlineLevel="0" collapsed="false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8" t="str">
        <f aca="false">IF(A337="","",SUM(Y337:AE337))</f>
        <v/>
      </c>
      <c r="AG337" s="38" t="str">
        <f aca="false">IF(AF337="","",ROUND(AF337*1.2/100,0)*100)</f>
        <v/>
      </c>
      <c r="AH337" s="38"/>
      <c r="AI337" s="38" t="str">
        <f aca="false">IF(AF337="","",ROUND(AF337*1.05/100,0)*100)</f>
        <v/>
      </c>
      <c r="AJ337" s="38" t="str">
        <f aca="false">IF(OR(AH337="",AF337=""),"",AH337-AF337)</f>
        <v/>
      </c>
      <c r="AK337" s="39" t="str">
        <f aca="false">IF(OR(AF337="",AF337=0),"",AJ337/AF337)</f>
        <v/>
      </c>
      <c r="AL337" s="38" t="str">
        <f aca="false">IF(AJ337="","",AJ337-AM337)</f>
        <v/>
      </c>
      <c r="AM337" s="40" t="str">
        <f aca="false">IF(OR(AH337="",AF337=""),"",ROUND((AH337-AF337)/1.2*0.2,2))</f>
        <v/>
      </c>
      <c r="AN337" s="39" t="str">
        <f aca="false">IF(OR(AF337="",AF337=0),"",AL337/AF337)</f>
        <v/>
      </c>
      <c r="AO337" s="37"/>
      <c r="AP337" s="37"/>
      <c r="AQ337" s="37"/>
      <c r="AR337" s="41" t="str">
        <f aca="true">IF(OR(A337="",P337=""),"",IF(AO337&lt;&gt;"",AO337-P337,TODAY()-P337))</f>
        <v/>
      </c>
      <c r="AS337" s="37"/>
    </row>
    <row r="338" customFormat="false" ht="21.75" hidden="false" customHeight="true" outlineLevel="0" collapsed="false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3" t="str">
        <f aca="false">IF(A338="","",SUM(Y338:AE338))</f>
        <v/>
      </c>
      <c r="AG338" s="43" t="str">
        <f aca="false">IF(AF338="","",ROUND(AF338*1.2/100,0)*100)</f>
        <v/>
      </c>
      <c r="AH338" s="43"/>
      <c r="AI338" s="43" t="str">
        <f aca="false">IF(AF338="","",ROUND(AF338*1.05/100,0)*100)</f>
        <v/>
      </c>
      <c r="AJ338" s="43" t="str">
        <f aca="false">IF(OR(AH338="",AF338=""),"",AH338-AF338)</f>
        <v/>
      </c>
      <c r="AK338" s="44" t="str">
        <f aca="false">IF(OR(AF338="",AF338=0),"",AJ338/AF338)</f>
        <v/>
      </c>
      <c r="AL338" s="43" t="str">
        <f aca="false">IF(AJ338="","",AJ338-AM338)</f>
        <v/>
      </c>
      <c r="AM338" s="45" t="str">
        <f aca="false">IF(OR(AH338="",AF338=""),"",ROUND((AH338-AF338)/1.2*0.2,2))</f>
        <v/>
      </c>
      <c r="AN338" s="44" t="str">
        <f aca="false">IF(OR(AF338="",AF338=0),"",AL338/AF338)</f>
        <v/>
      </c>
      <c r="AO338" s="42"/>
      <c r="AP338" s="42"/>
      <c r="AQ338" s="42"/>
      <c r="AR338" s="46" t="str">
        <f aca="true">IF(OR(A338="",P338=""),"",IF(AO338&lt;&gt;"",AO338-P338,TODAY()-P338))</f>
        <v/>
      </c>
      <c r="AS338" s="42"/>
    </row>
    <row r="339" customFormat="false" ht="21.75" hidden="false" customHeight="true" outlineLevel="0" collapsed="false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8" t="str">
        <f aca="false">IF(A339="","",SUM(Y339:AE339))</f>
        <v/>
      </c>
      <c r="AG339" s="38" t="str">
        <f aca="false">IF(AF339="","",ROUND(AF339*1.2/100,0)*100)</f>
        <v/>
      </c>
      <c r="AH339" s="38"/>
      <c r="AI339" s="38" t="str">
        <f aca="false">IF(AF339="","",ROUND(AF339*1.05/100,0)*100)</f>
        <v/>
      </c>
      <c r="AJ339" s="38" t="str">
        <f aca="false">IF(OR(AH339="",AF339=""),"",AH339-AF339)</f>
        <v/>
      </c>
      <c r="AK339" s="39" t="str">
        <f aca="false">IF(OR(AF339="",AF339=0),"",AJ339/AF339)</f>
        <v/>
      </c>
      <c r="AL339" s="38" t="str">
        <f aca="false">IF(AJ339="","",AJ339-AM339)</f>
        <v/>
      </c>
      <c r="AM339" s="40" t="str">
        <f aca="false">IF(OR(AH339="",AF339=""),"",ROUND((AH339-AF339)/1.2*0.2,2))</f>
        <v/>
      </c>
      <c r="AN339" s="39" t="str">
        <f aca="false">IF(OR(AF339="",AF339=0),"",AL339/AF339)</f>
        <v/>
      </c>
      <c r="AO339" s="37"/>
      <c r="AP339" s="37"/>
      <c r="AQ339" s="37"/>
      <c r="AR339" s="41" t="str">
        <f aca="true">IF(OR(A339="",P339=""),"",IF(AO339&lt;&gt;"",AO339-P339,TODAY()-P339))</f>
        <v/>
      </c>
      <c r="AS339" s="37"/>
    </row>
    <row r="340" customFormat="false" ht="21.75" hidden="false" customHeight="true" outlineLevel="0" collapsed="false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3" t="str">
        <f aca="false">IF(A340="","",SUM(Y340:AE340))</f>
        <v/>
      </c>
      <c r="AG340" s="43" t="str">
        <f aca="false">IF(AF340="","",ROUND(AF340*1.2/100,0)*100)</f>
        <v/>
      </c>
      <c r="AH340" s="43"/>
      <c r="AI340" s="43" t="str">
        <f aca="false">IF(AF340="","",ROUND(AF340*1.05/100,0)*100)</f>
        <v/>
      </c>
      <c r="AJ340" s="43" t="str">
        <f aca="false">IF(OR(AH340="",AF340=""),"",AH340-AF340)</f>
        <v/>
      </c>
      <c r="AK340" s="44" t="str">
        <f aca="false">IF(OR(AF340="",AF340=0),"",AJ340/AF340)</f>
        <v/>
      </c>
      <c r="AL340" s="43" t="str">
        <f aca="false">IF(AJ340="","",AJ340-AM340)</f>
        <v/>
      </c>
      <c r="AM340" s="45" t="str">
        <f aca="false">IF(OR(AH340="",AF340=""),"",ROUND((AH340-AF340)/1.2*0.2,2))</f>
        <v/>
      </c>
      <c r="AN340" s="44" t="str">
        <f aca="false">IF(OR(AF340="",AF340=0),"",AL340/AF340)</f>
        <v/>
      </c>
      <c r="AO340" s="42"/>
      <c r="AP340" s="42"/>
      <c r="AQ340" s="42"/>
      <c r="AR340" s="46" t="str">
        <f aca="true">IF(OR(A340="",P340=""),"",IF(AO340&lt;&gt;"",AO340-P340,TODAY()-P340))</f>
        <v/>
      </c>
      <c r="AS340" s="42"/>
    </row>
    <row r="341" customFormat="false" ht="21.75" hidden="false" customHeight="true" outlineLevel="0" collapsed="false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8" t="str">
        <f aca="false">IF(A341="","",SUM(Y341:AE341))</f>
        <v/>
      </c>
      <c r="AG341" s="38" t="str">
        <f aca="false">IF(AF341="","",ROUND(AF341*1.2/100,0)*100)</f>
        <v/>
      </c>
      <c r="AH341" s="38"/>
      <c r="AI341" s="38" t="str">
        <f aca="false">IF(AF341="","",ROUND(AF341*1.05/100,0)*100)</f>
        <v/>
      </c>
      <c r="AJ341" s="38" t="str">
        <f aca="false">IF(OR(AH341="",AF341=""),"",AH341-AF341)</f>
        <v/>
      </c>
      <c r="AK341" s="39" t="str">
        <f aca="false">IF(OR(AF341="",AF341=0),"",AJ341/AF341)</f>
        <v/>
      </c>
      <c r="AL341" s="38" t="str">
        <f aca="false">IF(AJ341="","",AJ341-AM341)</f>
        <v/>
      </c>
      <c r="AM341" s="40" t="str">
        <f aca="false">IF(OR(AH341="",AF341=""),"",ROUND((AH341-AF341)/1.2*0.2,2))</f>
        <v/>
      </c>
      <c r="AN341" s="39" t="str">
        <f aca="false">IF(OR(AF341="",AF341=0),"",AL341/AF341)</f>
        <v/>
      </c>
      <c r="AO341" s="37"/>
      <c r="AP341" s="37"/>
      <c r="AQ341" s="37"/>
      <c r="AR341" s="41" t="str">
        <f aca="true">IF(OR(A341="",P341=""),"",IF(AO341&lt;&gt;"",AO341-P341,TODAY()-P341))</f>
        <v/>
      </c>
      <c r="AS341" s="37"/>
    </row>
    <row r="342" customFormat="false" ht="21.75" hidden="false" customHeight="true" outlineLevel="0" collapsed="false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3" t="str">
        <f aca="false">IF(A342="","",SUM(Y342:AE342))</f>
        <v/>
      </c>
      <c r="AG342" s="43" t="str">
        <f aca="false">IF(AF342="","",ROUND(AF342*1.2/100,0)*100)</f>
        <v/>
      </c>
      <c r="AH342" s="43"/>
      <c r="AI342" s="43" t="str">
        <f aca="false">IF(AF342="","",ROUND(AF342*1.05/100,0)*100)</f>
        <v/>
      </c>
      <c r="AJ342" s="43" t="str">
        <f aca="false">IF(OR(AH342="",AF342=""),"",AH342-AF342)</f>
        <v/>
      </c>
      <c r="AK342" s="44" t="str">
        <f aca="false">IF(OR(AF342="",AF342=0),"",AJ342/AF342)</f>
        <v/>
      </c>
      <c r="AL342" s="43" t="str">
        <f aca="false">IF(AJ342="","",AJ342-AM342)</f>
        <v/>
      </c>
      <c r="AM342" s="45" t="str">
        <f aca="false">IF(OR(AH342="",AF342=""),"",ROUND((AH342-AF342)/1.2*0.2,2))</f>
        <v/>
      </c>
      <c r="AN342" s="44" t="str">
        <f aca="false">IF(OR(AF342="",AF342=0),"",AL342/AF342)</f>
        <v/>
      </c>
      <c r="AO342" s="42"/>
      <c r="AP342" s="42"/>
      <c r="AQ342" s="42"/>
      <c r="AR342" s="46" t="str">
        <f aca="true">IF(OR(A342="",P342=""),"",IF(AO342&lt;&gt;"",AO342-P342,TODAY()-P342))</f>
        <v/>
      </c>
      <c r="AS342" s="42"/>
    </row>
    <row r="343" customFormat="false" ht="21.75" hidden="false" customHeight="true" outlineLevel="0" collapsed="false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8" t="str">
        <f aca="false">IF(A343="","",SUM(Y343:AE343))</f>
        <v/>
      </c>
      <c r="AG343" s="38" t="str">
        <f aca="false">IF(AF343="","",ROUND(AF343*1.2/100,0)*100)</f>
        <v/>
      </c>
      <c r="AH343" s="38"/>
      <c r="AI343" s="38" t="str">
        <f aca="false">IF(AF343="","",ROUND(AF343*1.05/100,0)*100)</f>
        <v/>
      </c>
      <c r="AJ343" s="38" t="str">
        <f aca="false">IF(OR(AH343="",AF343=""),"",AH343-AF343)</f>
        <v/>
      </c>
      <c r="AK343" s="39" t="str">
        <f aca="false">IF(OR(AF343="",AF343=0),"",AJ343/AF343)</f>
        <v/>
      </c>
      <c r="AL343" s="38" t="str">
        <f aca="false">IF(AJ343="","",AJ343-AM343)</f>
        <v/>
      </c>
      <c r="AM343" s="40" t="str">
        <f aca="false">IF(OR(AH343="",AF343=""),"",ROUND((AH343-AF343)/1.2*0.2,2))</f>
        <v/>
      </c>
      <c r="AN343" s="39" t="str">
        <f aca="false">IF(OR(AF343="",AF343=0),"",AL343/AF343)</f>
        <v/>
      </c>
      <c r="AO343" s="37"/>
      <c r="AP343" s="37"/>
      <c r="AQ343" s="37"/>
      <c r="AR343" s="41" t="str">
        <f aca="true">IF(OR(A343="",P343=""),"",IF(AO343&lt;&gt;"",AO343-P343,TODAY()-P343))</f>
        <v/>
      </c>
      <c r="AS343" s="37"/>
    </row>
    <row r="344" customFormat="false" ht="21.75" hidden="false" customHeight="true" outlineLevel="0" collapsed="false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3" t="str">
        <f aca="false">IF(A344="","",SUM(Y344:AE344))</f>
        <v/>
      </c>
      <c r="AG344" s="43" t="str">
        <f aca="false">IF(AF344="","",ROUND(AF344*1.2/100,0)*100)</f>
        <v/>
      </c>
      <c r="AH344" s="43"/>
      <c r="AI344" s="43" t="str">
        <f aca="false">IF(AF344="","",ROUND(AF344*1.05/100,0)*100)</f>
        <v/>
      </c>
      <c r="AJ344" s="43" t="str">
        <f aca="false">IF(OR(AH344="",AF344=""),"",AH344-AF344)</f>
        <v/>
      </c>
      <c r="AK344" s="44" t="str">
        <f aca="false">IF(OR(AF344="",AF344=0),"",AJ344/AF344)</f>
        <v/>
      </c>
      <c r="AL344" s="43" t="str">
        <f aca="false">IF(AJ344="","",AJ344-AM344)</f>
        <v/>
      </c>
      <c r="AM344" s="45" t="str">
        <f aca="false">IF(OR(AH344="",AF344=""),"",ROUND((AH344-AF344)/1.2*0.2,2))</f>
        <v/>
      </c>
      <c r="AN344" s="44" t="str">
        <f aca="false">IF(OR(AF344="",AF344=0),"",AL344/AF344)</f>
        <v/>
      </c>
      <c r="AO344" s="42"/>
      <c r="AP344" s="42"/>
      <c r="AQ344" s="42"/>
      <c r="AR344" s="46" t="str">
        <f aca="true">IF(OR(A344="",P344=""),"",IF(AO344&lt;&gt;"",AO344-P344,TODAY()-P344))</f>
        <v/>
      </c>
      <c r="AS344" s="42"/>
    </row>
    <row r="345" customFormat="false" ht="21.75" hidden="false" customHeight="true" outlineLevel="0" collapsed="false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8" t="str">
        <f aca="false">IF(A345="","",SUM(Y345:AE345))</f>
        <v/>
      </c>
      <c r="AG345" s="38" t="str">
        <f aca="false">IF(AF345="","",ROUND(AF345*1.2/100,0)*100)</f>
        <v/>
      </c>
      <c r="AH345" s="38"/>
      <c r="AI345" s="38" t="str">
        <f aca="false">IF(AF345="","",ROUND(AF345*1.05/100,0)*100)</f>
        <v/>
      </c>
      <c r="AJ345" s="38" t="str">
        <f aca="false">IF(OR(AH345="",AF345=""),"",AH345-AF345)</f>
        <v/>
      </c>
      <c r="AK345" s="39" t="str">
        <f aca="false">IF(OR(AF345="",AF345=0),"",AJ345/AF345)</f>
        <v/>
      </c>
      <c r="AL345" s="38" t="str">
        <f aca="false">IF(AJ345="","",AJ345-AM345)</f>
        <v/>
      </c>
      <c r="AM345" s="40" t="str">
        <f aca="false">IF(OR(AH345="",AF345=""),"",ROUND((AH345-AF345)/1.2*0.2,2))</f>
        <v/>
      </c>
      <c r="AN345" s="39" t="str">
        <f aca="false">IF(OR(AF345="",AF345=0),"",AL345/AF345)</f>
        <v/>
      </c>
      <c r="AO345" s="37"/>
      <c r="AP345" s="37"/>
      <c r="AQ345" s="37"/>
      <c r="AR345" s="41" t="str">
        <f aca="true">IF(OR(A345="",P345=""),"",IF(AO345&lt;&gt;"",AO345-P345,TODAY()-P345))</f>
        <v/>
      </c>
      <c r="AS345" s="37"/>
    </row>
    <row r="346" customFormat="false" ht="21.75" hidden="false" customHeight="true" outlineLevel="0" collapsed="false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3" t="str">
        <f aca="false">IF(A346="","",SUM(Y346:AE346))</f>
        <v/>
      </c>
      <c r="AG346" s="43" t="str">
        <f aca="false">IF(AF346="","",ROUND(AF346*1.2/100,0)*100)</f>
        <v/>
      </c>
      <c r="AH346" s="43"/>
      <c r="AI346" s="43" t="str">
        <f aca="false">IF(AF346="","",ROUND(AF346*1.05/100,0)*100)</f>
        <v/>
      </c>
      <c r="AJ346" s="43" t="str">
        <f aca="false">IF(OR(AH346="",AF346=""),"",AH346-AF346)</f>
        <v/>
      </c>
      <c r="AK346" s="44" t="str">
        <f aca="false">IF(OR(AF346="",AF346=0),"",AJ346/AF346)</f>
        <v/>
      </c>
      <c r="AL346" s="43" t="str">
        <f aca="false">IF(AJ346="","",AJ346-AM346)</f>
        <v/>
      </c>
      <c r="AM346" s="45" t="str">
        <f aca="false">IF(OR(AH346="",AF346=""),"",ROUND((AH346-AF346)/1.2*0.2,2))</f>
        <v/>
      </c>
      <c r="AN346" s="44" t="str">
        <f aca="false">IF(OR(AF346="",AF346=0),"",AL346/AF346)</f>
        <v/>
      </c>
      <c r="AO346" s="42"/>
      <c r="AP346" s="42"/>
      <c r="AQ346" s="42"/>
      <c r="AR346" s="46" t="str">
        <f aca="true">IF(OR(A346="",P346=""),"",IF(AO346&lt;&gt;"",AO346-P346,TODAY()-P346))</f>
        <v/>
      </c>
      <c r="AS346" s="42"/>
    </row>
    <row r="347" customFormat="false" ht="21.75" hidden="false" customHeight="true" outlineLevel="0" collapsed="false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8" t="str">
        <f aca="false">IF(A347="","",SUM(Y347:AE347))</f>
        <v/>
      </c>
      <c r="AG347" s="38" t="str">
        <f aca="false">IF(AF347="","",ROUND(AF347*1.2/100,0)*100)</f>
        <v/>
      </c>
      <c r="AH347" s="38"/>
      <c r="AI347" s="38" t="str">
        <f aca="false">IF(AF347="","",ROUND(AF347*1.05/100,0)*100)</f>
        <v/>
      </c>
      <c r="AJ347" s="38" t="str">
        <f aca="false">IF(OR(AH347="",AF347=""),"",AH347-AF347)</f>
        <v/>
      </c>
      <c r="AK347" s="39" t="str">
        <f aca="false">IF(OR(AF347="",AF347=0),"",AJ347/AF347)</f>
        <v/>
      </c>
      <c r="AL347" s="38" t="str">
        <f aca="false">IF(AJ347="","",AJ347-AM347)</f>
        <v/>
      </c>
      <c r="AM347" s="40" t="str">
        <f aca="false">IF(OR(AH347="",AF347=""),"",ROUND((AH347-AF347)/1.2*0.2,2))</f>
        <v/>
      </c>
      <c r="AN347" s="39" t="str">
        <f aca="false">IF(OR(AF347="",AF347=0),"",AL347/AF347)</f>
        <v/>
      </c>
      <c r="AO347" s="37"/>
      <c r="AP347" s="37"/>
      <c r="AQ347" s="37"/>
      <c r="AR347" s="41" t="str">
        <f aca="true">IF(OR(A347="",P347=""),"",IF(AO347&lt;&gt;"",AO347-P347,TODAY()-P347))</f>
        <v/>
      </c>
      <c r="AS347" s="37"/>
    </row>
    <row r="348" customFormat="false" ht="21.75" hidden="false" customHeight="true" outlineLevel="0" collapsed="false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3" t="str">
        <f aca="false">IF(A348="","",SUM(Y348:AE348))</f>
        <v/>
      </c>
      <c r="AG348" s="43" t="str">
        <f aca="false">IF(AF348="","",ROUND(AF348*1.2/100,0)*100)</f>
        <v/>
      </c>
      <c r="AH348" s="43"/>
      <c r="AI348" s="43" t="str">
        <f aca="false">IF(AF348="","",ROUND(AF348*1.05/100,0)*100)</f>
        <v/>
      </c>
      <c r="AJ348" s="43" t="str">
        <f aca="false">IF(OR(AH348="",AF348=""),"",AH348-AF348)</f>
        <v/>
      </c>
      <c r="AK348" s="44" t="str">
        <f aca="false">IF(OR(AF348="",AF348=0),"",AJ348/AF348)</f>
        <v/>
      </c>
      <c r="AL348" s="43" t="str">
        <f aca="false">IF(AJ348="","",AJ348-AM348)</f>
        <v/>
      </c>
      <c r="AM348" s="45" t="str">
        <f aca="false">IF(OR(AH348="",AF348=""),"",ROUND((AH348-AF348)/1.2*0.2,2))</f>
        <v/>
      </c>
      <c r="AN348" s="44" t="str">
        <f aca="false">IF(OR(AF348="",AF348=0),"",AL348/AF348)</f>
        <v/>
      </c>
      <c r="AO348" s="42"/>
      <c r="AP348" s="42"/>
      <c r="AQ348" s="42"/>
      <c r="AR348" s="46" t="str">
        <f aca="true">IF(OR(A348="",P348=""),"",IF(AO348&lt;&gt;"",AO348-P348,TODAY()-P348))</f>
        <v/>
      </c>
      <c r="AS348" s="42"/>
    </row>
    <row r="349" customFormat="false" ht="21.75" hidden="false" customHeight="true" outlineLevel="0" collapsed="false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8" t="str">
        <f aca="false">IF(A349="","",SUM(Y349:AE349))</f>
        <v/>
      </c>
      <c r="AG349" s="38" t="str">
        <f aca="false">IF(AF349="","",ROUND(AF349*1.2/100,0)*100)</f>
        <v/>
      </c>
      <c r="AH349" s="38"/>
      <c r="AI349" s="38" t="str">
        <f aca="false">IF(AF349="","",ROUND(AF349*1.05/100,0)*100)</f>
        <v/>
      </c>
      <c r="AJ349" s="38" t="str">
        <f aca="false">IF(OR(AH349="",AF349=""),"",AH349-AF349)</f>
        <v/>
      </c>
      <c r="AK349" s="39" t="str">
        <f aca="false">IF(OR(AF349="",AF349=0),"",AJ349/AF349)</f>
        <v/>
      </c>
      <c r="AL349" s="38" t="str">
        <f aca="false">IF(AJ349="","",AJ349-AM349)</f>
        <v/>
      </c>
      <c r="AM349" s="40" t="str">
        <f aca="false">IF(OR(AH349="",AF349=""),"",ROUND((AH349-AF349)/1.2*0.2,2))</f>
        <v/>
      </c>
      <c r="AN349" s="39" t="str">
        <f aca="false">IF(OR(AF349="",AF349=0),"",AL349/AF349)</f>
        <v/>
      </c>
      <c r="AO349" s="37"/>
      <c r="AP349" s="37"/>
      <c r="AQ349" s="37"/>
      <c r="AR349" s="41" t="str">
        <f aca="true">IF(OR(A349="",P349=""),"",IF(AO349&lt;&gt;"",AO349-P349,TODAY()-P349))</f>
        <v/>
      </c>
      <c r="AS349" s="37"/>
    </row>
    <row r="350" customFormat="false" ht="21.75" hidden="false" customHeight="true" outlineLevel="0" collapsed="false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3" t="str">
        <f aca="false">IF(A350="","",SUM(Y350:AE350))</f>
        <v/>
      </c>
      <c r="AG350" s="43" t="str">
        <f aca="false">IF(AF350="","",ROUND(AF350*1.2/100,0)*100)</f>
        <v/>
      </c>
      <c r="AH350" s="43"/>
      <c r="AI350" s="43" t="str">
        <f aca="false">IF(AF350="","",ROUND(AF350*1.05/100,0)*100)</f>
        <v/>
      </c>
      <c r="AJ350" s="43" t="str">
        <f aca="false">IF(OR(AH350="",AF350=""),"",AH350-AF350)</f>
        <v/>
      </c>
      <c r="AK350" s="44" t="str">
        <f aca="false">IF(OR(AF350="",AF350=0),"",AJ350/AF350)</f>
        <v/>
      </c>
      <c r="AL350" s="43" t="str">
        <f aca="false">IF(AJ350="","",AJ350-AM350)</f>
        <v/>
      </c>
      <c r="AM350" s="45" t="str">
        <f aca="false">IF(OR(AH350="",AF350=""),"",ROUND((AH350-AF350)/1.2*0.2,2))</f>
        <v/>
      </c>
      <c r="AN350" s="44" t="str">
        <f aca="false">IF(OR(AF350="",AF350=0),"",AL350/AF350)</f>
        <v/>
      </c>
      <c r="AO350" s="42"/>
      <c r="AP350" s="42"/>
      <c r="AQ350" s="42"/>
      <c r="AR350" s="46" t="str">
        <f aca="true">IF(OR(A350="",P350=""),"",IF(AO350&lt;&gt;"",AO350-P350,TODAY()-P350))</f>
        <v/>
      </c>
      <c r="AS350" s="42"/>
    </row>
    <row r="351" customFormat="false" ht="21.75" hidden="false" customHeight="true" outlineLevel="0" collapsed="false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8" t="str">
        <f aca="false">IF(A351="","",SUM(Y351:AE351))</f>
        <v/>
      </c>
      <c r="AG351" s="38" t="str">
        <f aca="false">IF(AF351="","",ROUND(AF351*1.2/100,0)*100)</f>
        <v/>
      </c>
      <c r="AH351" s="38"/>
      <c r="AI351" s="38" t="str">
        <f aca="false">IF(AF351="","",ROUND(AF351*1.05/100,0)*100)</f>
        <v/>
      </c>
      <c r="AJ351" s="38" t="str">
        <f aca="false">IF(OR(AH351="",AF351=""),"",AH351-AF351)</f>
        <v/>
      </c>
      <c r="AK351" s="39" t="str">
        <f aca="false">IF(OR(AF351="",AF351=0),"",AJ351/AF351)</f>
        <v/>
      </c>
      <c r="AL351" s="38" t="str">
        <f aca="false">IF(AJ351="","",AJ351-AM351)</f>
        <v/>
      </c>
      <c r="AM351" s="40" t="str">
        <f aca="false">IF(OR(AH351="",AF351=""),"",ROUND((AH351-AF351)/1.2*0.2,2))</f>
        <v/>
      </c>
      <c r="AN351" s="39" t="str">
        <f aca="false">IF(OR(AF351="",AF351=0),"",AL351/AF351)</f>
        <v/>
      </c>
      <c r="AO351" s="37"/>
      <c r="AP351" s="37"/>
      <c r="AQ351" s="37"/>
      <c r="AR351" s="41" t="str">
        <f aca="true">IF(OR(A351="",P351=""),"",IF(AO351&lt;&gt;"",AO351-P351,TODAY()-P351))</f>
        <v/>
      </c>
      <c r="AS351" s="37"/>
    </row>
    <row r="352" customFormat="false" ht="21.75" hidden="false" customHeight="true" outlineLevel="0" collapsed="false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3" t="str">
        <f aca="false">IF(A352="","",SUM(Y352:AE352))</f>
        <v/>
      </c>
      <c r="AG352" s="43" t="str">
        <f aca="false">IF(AF352="","",ROUND(AF352*1.2/100,0)*100)</f>
        <v/>
      </c>
      <c r="AH352" s="43"/>
      <c r="AI352" s="43" t="str">
        <f aca="false">IF(AF352="","",ROUND(AF352*1.05/100,0)*100)</f>
        <v/>
      </c>
      <c r="AJ352" s="43" t="str">
        <f aca="false">IF(OR(AH352="",AF352=""),"",AH352-AF352)</f>
        <v/>
      </c>
      <c r="AK352" s="44" t="str">
        <f aca="false">IF(OR(AF352="",AF352=0),"",AJ352/AF352)</f>
        <v/>
      </c>
      <c r="AL352" s="43" t="str">
        <f aca="false">IF(AJ352="","",AJ352-AM352)</f>
        <v/>
      </c>
      <c r="AM352" s="45" t="str">
        <f aca="false">IF(OR(AH352="",AF352=""),"",ROUND((AH352-AF352)/1.2*0.2,2))</f>
        <v/>
      </c>
      <c r="AN352" s="44" t="str">
        <f aca="false">IF(OR(AF352="",AF352=0),"",AL352/AF352)</f>
        <v/>
      </c>
      <c r="AO352" s="42"/>
      <c r="AP352" s="42"/>
      <c r="AQ352" s="42"/>
      <c r="AR352" s="46" t="str">
        <f aca="true">IF(OR(A352="",P352=""),"",IF(AO352&lt;&gt;"",AO352-P352,TODAY()-P352))</f>
        <v/>
      </c>
      <c r="AS352" s="42"/>
    </row>
    <row r="353" customFormat="false" ht="21.75" hidden="false" customHeight="true" outlineLevel="0" collapsed="false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8" t="str">
        <f aca="false">IF(A353="","",SUM(Y353:AE353))</f>
        <v/>
      </c>
      <c r="AG353" s="38" t="str">
        <f aca="false">IF(AF353="","",ROUND(AF353*1.2/100,0)*100)</f>
        <v/>
      </c>
      <c r="AH353" s="38"/>
      <c r="AI353" s="38" t="str">
        <f aca="false">IF(AF353="","",ROUND(AF353*1.05/100,0)*100)</f>
        <v/>
      </c>
      <c r="AJ353" s="38" t="str">
        <f aca="false">IF(OR(AH353="",AF353=""),"",AH353-AF353)</f>
        <v/>
      </c>
      <c r="AK353" s="39" t="str">
        <f aca="false">IF(OR(AF353="",AF353=0),"",AJ353/AF353)</f>
        <v/>
      </c>
      <c r="AL353" s="38" t="str">
        <f aca="false">IF(AJ353="","",AJ353-AM353)</f>
        <v/>
      </c>
      <c r="AM353" s="40" t="str">
        <f aca="false">IF(OR(AH353="",AF353=""),"",ROUND((AH353-AF353)/1.2*0.2,2))</f>
        <v/>
      </c>
      <c r="AN353" s="39" t="str">
        <f aca="false">IF(OR(AF353="",AF353=0),"",AL353/AF353)</f>
        <v/>
      </c>
      <c r="AO353" s="37"/>
      <c r="AP353" s="37"/>
      <c r="AQ353" s="37"/>
      <c r="AR353" s="41" t="str">
        <f aca="true">IF(OR(A353="",P353=""),"",IF(AO353&lt;&gt;"",AO353-P353,TODAY()-P353))</f>
        <v/>
      </c>
      <c r="AS353" s="37"/>
    </row>
    <row r="354" customFormat="false" ht="21.75" hidden="false" customHeight="true" outlineLevel="0" collapsed="false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3" t="str">
        <f aca="false">IF(A354="","",SUM(Y354:AE354))</f>
        <v/>
      </c>
      <c r="AG354" s="43" t="str">
        <f aca="false">IF(AF354="","",ROUND(AF354*1.2/100,0)*100)</f>
        <v/>
      </c>
      <c r="AH354" s="43"/>
      <c r="AI354" s="43" t="str">
        <f aca="false">IF(AF354="","",ROUND(AF354*1.05/100,0)*100)</f>
        <v/>
      </c>
      <c r="AJ354" s="43" t="str">
        <f aca="false">IF(OR(AH354="",AF354=""),"",AH354-AF354)</f>
        <v/>
      </c>
      <c r="AK354" s="44" t="str">
        <f aca="false">IF(OR(AF354="",AF354=0),"",AJ354/AF354)</f>
        <v/>
      </c>
      <c r="AL354" s="43" t="str">
        <f aca="false">IF(AJ354="","",AJ354-AM354)</f>
        <v/>
      </c>
      <c r="AM354" s="45" t="str">
        <f aca="false">IF(OR(AH354="",AF354=""),"",ROUND((AH354-AF354)/1.2*0.2,2))</f>
        <v/>
      </c>
      <c r="AN354" s="44" t="str">
        <f aca="false">IF(OR(AF354="",AF354=0),"",AL354/AF354)</f>
        <v/>
      </c>
      <c r="AO354" s="42"/>
      <c r="AP354" s="42"/>
      <c r="AQ354" s="42"/>
      <c r="AR354" s="46" t="str">
        <f aca="true">IF(OR(A354="",P354=""),"",IF(AO354&lt;&gt;"",AO354-P354,TODAY()-P354))</f>
        <v/>
      </c>
      <c r="AS354" s="42"/>
    </row>
    <row r="355" customFormat="false" ht="21.75" hidden="false" customHeight="true" outlineLevel="0" collapsed="false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8" t="str">
        <f aca="false">IF(A355="","",SUM(Y355:AE355))</f>
        <v/>
      </c>
      <c r="AG355" s="38" t="str">
        <f aca="false">IF(AF355="","",ROUND(AF355*1.2/100,0)*100)</f>
        <v/>
      </c>
      <c r="AH355" s="38"/>
      <c r="AI355" s="38" t="str">
        <f aca="false">IF(AF355="","",ROUND(AF355*1.05/100,0)*100)</f>
        <v/>
      </c>
      <c r="AJ355" s="38" t="str">
        <f aca="false">IF(OR(AH355="",AF355=""),"",AH355-AF355)</f>
        <v/>
      </c>
      <c r="AK355" s="39" t="str">
        <f aca="false">IF(OR(AF355="",AF355=0),"",AJ355/AF355)</f>
        <v/>
      </c>
      <c r="AL355" s="38" t="str">
        <f aca="false">IF(AJ355="","",AJ355-AM355)</f>
        <v/>
      </c>
      <c r="AM355" s="40" t="str">
        <f aca="false">IF(OR(AH355="",AF355=""),"",ROUND((AH355-AF355)/1.2*0.2,2))</f>
        <v/>
      </c>
      <c r="AN355" s="39" t="str">
        <f aca="false">IF(OR(AF355="",AF355=0),"",AL355/AF355)</f>
        <v/>
      </c>
      <c r="AO355" s="37"/>
      <c r="AP355" s="37"/>
      <c r="AQ355" s="37"/>
      <c r="AR355" s="41" t="str">
        <f aca="true">IF(OR(A355="",P355=""),"",IF(AO355&lt;&gt;"",AO355-P355,TODAY()-P355))</f>
        <v/>
      </c>
      <c r="AS355" s="37"/>
    </row>
    <row r="356" customFormat="false" ht="21.75" hidden="false" customHeight="true" outlineLevel="0" collapsed="false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3" t="str">
        <f aca="false">IF(A356="","",SUM(Y356:AE356))</f>
        <v/>
      </c>
      <c r="AG356" s="43" t="str">
        <f aca="false">IF(AF356="","",ROUND(AF356*1.2/100,0)*100)</f>
        <v/>
      </c>
      <c r="AH356" s="43"/>
      <c r="AI356" s="43" t="str">
        <f aca="false">IF(AF356="","",ROUND(AF356*1.05/100,0)*100)</f>
        <v/>
      </c>
      <c r="AJ356" s="43" t="str">
        <f aca="false">IF(OR(AH356="",AF356=""),"",AH356-AF356)</f>
        <v/>
      </c>
      <c r="AK356" s="44" t="str">
        <f aca="false">IF(OR(AF356="",AF356=0),"",AJ356/AF356)</f>
        <v/>
      </c>
      <c r="AL356" s="43" t="str">
        <f aca="false">IF(AJ356="","",AJ356-AM356)</f>
        <v/>
      </c>
      <c r="AM356" s="45" t="str">
        <f aca="false">IF(OR(AH356="",AF356=""),"",ROUND((AH356-AF356)/1.2*0.2,2))</f>
        <v/>
      </c>
      <c r="AN356" s="44" t="str">
        <f aca="false">IF(OR(AF356="",AF356=0),"",AL356/AF356)</f>
        <v/>
      </c>
      <c r="AO356" s="42"/>
      <c r="AP356" s="42"/>
      <c r="AQ356" s="42"/>
      <c r="AR356" s="46" t="str">
        <f aca="true">IF(OR(A356="",P356=""),"",IF(AO356&lt;&gt;"",AO356-P356,TODAY()-P356))</f>
        <v/>
      </c>
      <c r="AS356" s="42"/>
    </row>
    <row r="357" customFormat="false" ht="21.75" hidden="false" customHeight="true" outlineLevel="0" collapsed="false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8" t="str">
        <f aca="false">IF(A357="","",SUM(Y357:AE357))</f>
        <v/>
      </c>
      <c r="AG357" s="38" t="str">
        <f aca="false">IF(AF357="","",ROUND(AF357*1.2/100,0)*100)</f>
        <v/>
      </c>
      <c r="AH357" s="38"/>
      <c r="AI357" s="38" t="str">
        <f aca="false">IF(AF357="","",ROUND(AF357*1.05/100,0)*100)</f>
        <v/>
      </c>
      <c r="AJ357" s="38" t="str">
        <f aca="false">IF(OR(AH357="",AF357=""),"",AH357-AF357)</f>
        <v/>
      </c>
      <c r="AK357" s="39" t="str">
        <f aca="false">IF(OR(AF357="",AF357=0),"",AJ357/AF357)</f>
        <v/>
      </c>
      <c r="AL357" s="38" t="str">
        <f aca="false">IF(AJ357="","",AJ357-AM357)</f>
        <v/>
      </c>
      <c r="AM357" s="40" t="str">
        <f aca="false">IF(OR(AH357="",AF357=""),"",ROUND((AH357-AF357)/1.2*0.2,2))</f>
        <v/>
      </c>
      <c r="AN357" s="39" t="str">
        <f aca="false">IF(OR(AF357="",AF357=0),"",AL357/AF357)</f>
        <v/>
      </c>
      <c r="AO357" s="37"/>
      <c r="AP357" s="37"/>
      <c r="AQ357" s="37"/>
      <c r="AR357" s="41" t="str">
        <f aca="true">IF(OR(A357="",P357=""),"",IF(AO357&lt;&gt;"",AO357-P357,TODAY()-P357))</f>
        <v/>
      </c>
      <c r="AS357" s="37"/>
    </row>
    <row r="358" customFormat="false" ht="21.75" hidden="false" customHeight="true" outlineLevel="0" collapsed="false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3" t="str">
        <f aca="false">IF(A358="","",SUM(Y358:AE358))</f>
        <v/>
      </c>
      <c r="AG358" s="43" t="str">
        <f aca="false">IF(AF358="","",ROUND(AF358*1.2/100,0)*100)</f>
        <v/>
      </c>
      <c r="AH358" s="43"/>
      <c r="AI358" s="43" t="str">
        <f aca="false">IF(AF358="","",ROUND(AF358*1.05/100,0)*100)</f>
        <v/>
      </c>
      <c r="AJ358" s="43" t="str">
        <f aca="false">IF(OR(AH358="",AF358=""),"",AH358-AF358)</f>
        <v/>
      </c>
      <c r="AK358" s="44" t="str">
        <f aca="false">IF(OR(AF358="",AF358=0),"",AJ358/AF358)</f>
        <v/>
      </c>
      <c r="AL358" s="43" t="str">
        <f aca="false">IF(AJ358="","",AJ358-AM358)</f>
        <v/>
      </c>
      <c r="AM358" s="45" t="str">
        <f aca="false">IF(OR(AH358="",AF358=""),"",ROUND((AH358-AF358)/1.2*0.2,2))</f>
        <v/>
      </c>
      <c r="AN358" s="44" t="str">
        <f aca="false">IF(OR(AF358="",AF358=0),"",AL358/AF358)</f>
        <v/>
      </c>
      <c r="AO358" s="42"/>
      <c r="AP358" s="42"/>
      <c r="AQ358" s="42"/>
      <c r="AR358" s="46" t="str">
        <f aca="true">IF(OR(A358="",P358=""),"",IF(AO358&lt;&gt;"",AO358-P358,TODAY()-P358))</f>
        <v/>
      </c>
      <c r="AS358" s="42"/>
    </row>
    <row r="359" customFormat="false" ht="21.75" hidden="false" customHeight="true" outlineLevel="0" collapsed="false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8" t="str">
        <f aca="false">IF(A359="","",SUM(Y359:AE359))</f>
        <v/>
      </c>
      <c r="AG359" s="38" t="str">
        <f aca="false">IF(AF359="","",ROUND(AF359*1.2/100,0)*100)</f>
        <v/>
      </c>
      <c r="AH359" s="38"/>
      <c r="AI359" s="38" t="str">
        <f aca="false">IF(AF359="","",ROUND(AF359*1.05/100,0)*100)</f>
        <v/>
      </c>
      <c r="AJ359" s="38" t="str">
        <f aca="false">IF(OR(AH359="",AF359=""),"",AH359-AF359)</f>
        <v/>
      </c>
      <c r="AK359" s="39" t="str">
        <f aca="false">IF(OR(AF359="",AF359=0),"",AJ359/AF359)</f>
        <v/>
      </c>
      <c r="AL359" s="38" t="str">
        <f aca="false">IF(AJ359="","",AJ359-AM359)</f>
        <v/>
      </c>
      <c r="AM359" s="40" t="str">
        <f aca="false">IF(OR(AH359="",AF359=""),"",ROUND((AH359-AF359)/1.2*0.2,2))</f>
        <v/>
      </c>
      <c r="AN359" s="39" t="str">
        <f aca="false">IF(OR(AF359="",AF359=0),"",AL359/AF359)</f>
        <v/>
      </c>
      <c r="AO359" s="37"/>
      <c r="AP359" s="37"/>
      <c r="AQ359" s="37"/>
      <c r="AR359" s="41" t="str">
        <f aca="true">IF(OR(A359="",P359=""),"",IF(AO359&lt;&gt;"",AO359-P359,TODAY()-P359))</f>
        <v/>
      </c>
      <c r="AS359" s="37"/>
    </row>
    <row r="360" customFormat="false" ht="21.75" hidden="false" customHeight="true" outlineLevel="0" collapsed="false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3" t="str">
        <f aca="false">IF(A360="","",SUM(Y360:AE360))</f>
        <v/>
      </c>
      <c r="AG360" s="43" t="str">
        <f aca="false">IF(AF360="","",ROUND(AF360*1.2/100,0)*100)</f>
        <v/>
      </c>
      <c r="AH360" s="43"/>
      <c r="AI360" s="43" t="str">
        <f aca="false">IF(AF360="","",ROUND(AF360*1.05/100,0)*100)</f>
        <v/>
      </c>
      <c r="AJ360" s="43" t="str">
        <f aca="false">IF(OR(AH360="",AF360=""),"",AH360-AF360)</f>
        <v/>
      </c>
      <c r="AK360" s="44" t="str">
        <f aca="false">IF(OR(AF360="",AF360=0),"",AJ360/AF360)</f>
        <v/>
      </c>
      <c r="AL360" s="43" t="str">
        <f aca="false">IF(AJ360="","",AJ360-AM360)</f>
        <v/>
      </c>
      <c r="AM360" s="45" t="str">
        <f aca="false">IF(OR(AH360="",AF360=""),"",ROUND((AH360-AF360)/1.2*0.2,2))</f>
        <v/>
      </c>
      <c r="AN360" s="44" t="str">
        <f aca="false">IF(OR(AF360="",AF360=0),"",AL360/AF360)</f>
        <v/>
      </c>
      <c r="AO360" s="42"/>
      <c r="AP360" s="42"/>
      <c r="AQ360" s="42"/>
      <c r="AR360" s="46" t="str">
        <f aca="true">IF(OR(A360="",P360=""),"",IF(AO360&lt;&gt;"",AO360-P360,TODAY()-P360))</f>
        <v/>
      </c>
      <c r="AS360" s="42"/>
    </row>
    <row r="361" customFormat="false" ht="21.75" hidden="false" customHeight="true" outlineLevel="0" collapsed="false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8" t="str">
        <f aca="false">IF(A361="","",SUM(Y361:AE361))</f>
        <v/>
      </c>
      <c r="AG361" s="38" t="str">
        <f aca="false">IF(AF361="","",ROUND(AF361*1.2/100,0)*100)</f>
        <v/>
      </c>
      <c r="AH361" s="38"/>
      <c r="AI361" s="38" t="str">
        <f aca="false">IF(AF361="","",ROUND(AF361*1.05/100,0)*100)</f>
        <v/>
      </c>
      <c r="AJ361" s="38" t="str">
        <f aca="false">IF(OR(AH361="",AF361=""),"",AH361-AF361)</f>
        <v/>
      </c>
      <c r="AK361" s="39" t="str">
        <f aca="false">IF(OR(AF361="",AF361=0),"",AJ361/AF361)</f>
        <v/>
      </c>
      <c r="AL361" s="38" t="str">
        <f aca="false">IF(AJ361="","",AJ361-AM361)</f>
        <v/>
      </c>
      <c r="AM361" s="40" t="str">
        <f aca="false">IF(OR(AH361="",AF361=""),"",ROUND((AH361-AF361)/1.2*0.2,2))</f>
        <v/>
      </c>
      <c r="AN361" s="39" t="str">
        <f aca="false">IF(OR(AF361="",AF361=0),"",AL361/AF361)</f>
        <v/>
      </c>
      <c r="AO361" s="37"/>
      <c r="AP361" s="37"/>
      <c r="AQ361" s="37"/>
      <c r="AR361" s="41" t="str">
        <f aca="true">IF(OR(A361="",P361=""),"",IF(AO361&lt;&gt;"",AO361-P361,TODAY()-P361))</f>
        <v/>
      </c>
      <c r="AS361" s="37"/>
    </row>
    <row r="362" customFormat="false" ht="21.75" hidden="false" customHeight="true" outlineLevel="0" collapsed="false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3" t="str">
        <f aca="false">IF(A362="","",SUM(Y362:AE362))</f>
        <v/>
      </c>
      <c r="AG362" s="43" t="str">
        <f aca="false">IF(AF362="","",ROUND(AF362*1.2/100,0)*100)</f>
        <v/>
      </c>
      <c r="AH362" s="43"/>
      <c r="AI362" s="43" t="str">
        <f aca="false">IF(AF362="","",ROUND(AF362*1.05/100,0)*100)</f>
        <v/>
      </c>
      <c r="AJ362" s="43" t="str">
        <f aca="false">IF(OR(AH362="",AF362=""),"",AH362-AF362)</f>
        <v/>
      </c>
      <c r="AK362" s="44" t="str">
        <f aca="false">IF(OR(AF362="",AF362=0),"",AJ362/AF362)</f>
        <v/>
      </c>
      <c r="AL362" s="43" t="str">
        <f aca="false">IF(AJ362="","",AJ362-AM362)</f>
        <v/>
      </c>
      <c r="AM362" s="45" t="str">
        <f aca="false">IF(OR(AH362="",AF362=""),"",ROUND((AH362-AF362)/1.2*0.2,2))</f>
        <v/>
      </c>
      <c r="AN362" s="44" t="str">
        <f aca="false">IF(OR(AF362="",AF362=0),"",AL362/AF362)</f>
        <v/>
      </c>
      <c r="AO362" s="42"/>
      <c r="AP362" s="42"/>
      <c r="AQ362" s="42"/>
      <c r="AR362" s="46" t="str">
        <f aca="true">IF(OR(A362="",P362=""),"",IF(AO362&lt;&gt;"",AO362-P362,TODAY()-P362))</f>
        <v/>
      </c>
      <c r="AS362" s="42"/>
    </row>
    <row r="363" customFormat="false" ht="21.75" hidden="false" customHeight="true" outlineLevel="0" collapsed="false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8" t="str">
        <f aca="false">IF(A363="","",SUM(Y363:AE363))</f>
        <v/>
      </c>
      <c r="AG363" s="38" t="str">
        <f aca="false">IF(AF363="","",ROUND(AF363*1.2/100,0)*100)</f>
        <v/>
      </c>
      <c r="AH363" s="38"/>
      <c r="AI363" s="38" t="str">
        <f aca="false">IF(AF363="","",ROUND(AF363*1.05/100,0)*100)</f>
        <v/>
      </c>
      <c r="AJ363" s="38" t="str">
        <f aca="false">IF(OR(AH363="",AF363=""),"",AH363-AF363)</f>
        <v/>
      </c>
      <c r="AK363" s="39" t="str">
        <f aca="false">IF(OR(AF363="",AF363=0),"",AJ363/AF363)</f>
        <v/>
      </c>
      <c r="AL363" s="38" t="str">
        <f aca="false">IF(AJ363="","",AJ363-AM363)</f>
        <v/>
      </c>
      <c r="AM363" s="40" t="str">
        <f aca="false">IF(OR(AH363="",AF363=""),"",ROUND((AH363-AF363)/1.2*0.2,2))</f>
        <v/>
      </c>
      <c r="AN363" s="39" t="str">
        <f aca="false">IF(OR(AF363="",AF363=0),"",AL363/AF363)</f>
        <v/>
      </c>
      <c r="AO363" s="37"/>
      <c r="AP363" s="37"/>
      <c r="AQ363" s="37"/>
      <c r="AR363" s="41" t="str">
        <f aca="true">IF(OR(A363="",P363=""),"",IF(AO363&lt;&gt;"",AO363-P363,TODAY()-P363))</f>
        <v/>
      </c>
      <c r="AS363" s="37"/>
    </row>
    <row r="364" customFormat="false" ht="21.75" hidden="false" customHeight="true" outlineLevel="0" collapsed="false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3" t="str">
        <f aca="false">IF(A364="","",SUM(Y364:AE364))</f>
        <v/>
      </c>
      <c r="AG364" s="43" t="str">
        <f aca="false">IF(AF364="","",ROUND(AF364*1.2/100,0)*100)</f>
        <v/>
      </c>
      <c r="AH364" s="43"/>
      <c r="AI364" s="43" t="str">
        <f aca="false">IF(AF364="","",ROUND(AF364*1.05/100,0)*100)</f>
        <v/>
      </c>
      <c r="AJ364" s="43" t="str">
        <f aca="false">IF(OR(AH364="",AF364=""),"",AH364-AF364)</f>
        <v/>
      </c>
      <c r="AK364" s="44" t="str">
        <f aca="false">IF(OR(AF364="",AF364=0),"",AJ364/AF364)</f>
        <v/>
      </c>
      <c r="AL364" s="43" t="str">
        <f aca="false">IF(AJ364="","",AJ364-AM364)</f>
        <v/>
      </c>
      <c r="AM364" s="45" t="str">
        <f aca="false">IF(OR(AH364="",AF364=""),"",ROUND((AH364-AF364)/1.2*0.2,2))</f>
        <v/>
      </c>
      <c r="AN364" s="44" t="str">
        <f aca="false">IF(OR(AF364="",AF364=0),"",AL364/AF364)</f>
        <v/>
      </c>
      <c r="AO364" s="42"/>
      <c r="AP364" s="42"/>
      <c r="AQ364" s="42"/>
      <c r="AR364" s="46" t="str">
        <f aca="true">IF(OR(A364="",P364=""),"",IF(AO364&lt;&gt;"",AO364-P364,TODAY()-P364))</f>
        <v/>
      </c>
      <c r="AS364" s="42"/>
    </row>
    <row r="365" customFormat="false" ht="21.75" hidden="false" customHeight="true" outlineLevel="0" collapsed="false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8" t="str">
        <f aca="false">IF(A365="","",SUM(Y365:AE365))</f>
        <v/>
      </c>
      <c r="AG365" s="38" t="str">
        <f aca="false">IF(AF365="","",ROUND(AF365*1.2/100,0)*100)</f>
        <v/>
      </c>
      <c r="AH365" s="38"/>
      <c r="AI365" s="38" t="str">
        <f aca="false">IF(AF365="","",ROUND(AF365*1.05/100,0)*100)</f>
        <v/>
      </c>
      <c r="AJ365" s="38" t="str">
        <f aca="false">IF(OR(AH365="",AF365=""),"",AH365-AF365)</f>
        <v/>
      </c>
      <c r="AK365" s="39" t="str">
        <f aca="false">IF(OR(AF365="",AF365=0),"",AJ365/AF365)</f>
        <v/>
      </c>
      <c r="AL365" s="38" t="str">
        <f aca="false">IF(AJ365="","",AJ365-AM365)</f>
        <v/>
      </c>
      <c r="AM365" s="40" t="str">
        <f aca="false">IF(OR(AH365="",AF365=""),"",ROUND((AH365-AF365)/1.2*0.2,2))</f>
        <v/>
      </c>
      <c r="AN365" s="39" t="str">
        <f aca="false">IF(OR(AF365="",AF365=0),"",AL365/AF365)</f>
        <v/>
      </c>
      <c r="AO365" s="37"/>
      <c r="AP365" s="37"/>
      <c r="AQ365" s="37"/>
      <c r="AR365" s="41" t="str">
        <f aca="true">IF(OR(A365="",P365=""),"",IF(AO365&lt;&gt;"",AO365-P365,TODAY()-P365))</f>
        <v/>
      </c>
      <c r="AS365" s="37"/>
    </row>
    <row r="366" customFormat="false" ht="21.75" hidden="false" customHeight="true" outlineLevel="0" collapsed="false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3" t="str">
        <f aca="false">IF(A366="","",SUM(Y366:AE366))</f>
        <v/>
      </c>
      <c r="AG366" s="43" t="str">
        <f aca="false">IF(AF366="","",ROUND(AF366*1.2/100,0)*100)</f>
        <v/>
      </c>
      <c r="AH366" s="43"/>
      <c r="AI366" s="43" t="str">
        <f aca="false">IF(AF366="","",ROUND(AF366*1.05/100,0)*100)</f>
        <v/>
      </c>
      <c r="AJ366" s="43" t="str">
        <f aca="false">IF(OR(AH366="",AF366=""),"",AH366-AF366)</f>
        <v/>
      </c>
      <c r="AK366" s="44" t="str">
        <f aca="false">IF(OR(AF366="",AF366=0),"",AJ366/AF366)</f>
        <v/>
      </c>
      <c r="AL366" s="43" t="str">
        <f aca="false">IF(AJ366="","",AJ366-AM366)</f>
        <v/>
      </c>
      <c r="AM366" s="45" t="str">
        <f aca="false">IF(OR(AH366="",AF366=""),"",ROUND((AH366-AF366)/1.2*0.2,2))</f>
        <v/>
      </c>
      <c r="AN366" s="44" t="str">
        <f aca="false">IF(OR(AF366="",AF366=0),"",AL366/AF366)</f>
        <v/>
      </c>
      <c r="AO366" s="42"/>
      <c r="AP366" s="42"/>
      <c r="AQ366" s="42"/>
      <c r="AR366" s="46" t="str">
        <f aca="true">IF(OR(A366="",P366=""),"",IF(AO366&lt;&gt;"",AO366-P366,TODAY()-P366))</f>
        <v/>
      </c>
      <c r="AS366" s="42"/>
    </row>
    <row r="367" customFormat="false" ht="21.75" hidden="false" customHeight="true" outlineLevel="0" collapsed="false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8" t="str">
        <f aca="false">IF(A367="","",SUM(Y367:AE367))</f>
        <v/>
      </c>
      <c r="AG367" s="38" t="str">
        <f aca="false">IF(AF367="","",ROUND(AF367*1.2/100,0)*100)</f>
        <v/>
      </c>
      <c r="AH367" s="38"/>
      <c r="AI367" s="38" t="str">
        <f aca="false">IF(AF367="","",ROUND(AF367*1.05/100,0)*100)</f>
        <v/>
      </c>
      <c r="AJ367" s="38" t="str">
        <f aca="false">IF(OR(AH367="",AF367=""),"",AH367-AF367)</f>
        <v/>
      </c>
      <c r="AK367" s="39" t="str">
        <f aca="false">IF(OR(AF367="",AF367=0),"",AJ367/AF367)</f>
        <v/>
      </c>
      <c r="AL367" s="38" t="str">
        <f aca="false">IF(AJ367="","",AJ367-AM367)</f>
        <v/>
      </c>
      <c r="AM367" s="40" t="str">
        <f aca="false">IF(OR(AH367="",AF367=""),"",ROUND((AH367-AF367)/1.2*0.2,2))</f>
        <v/>
      </c>
      <c r="AN367" s="39" t="str">
        <f aca="false">IF(OR(AF367="",AF367=0),"",AL367/AF367)</f>
        <v/>
      </c>
      <c r="AO367" s="37"/>
      <c r="AP367" s="37"/>
      <c r="AQ367" s="37"/>
      <c r="AR367" s="41" t="str">
        <f aca="true">IF(OR(A367="",P367=""),"",IF(AO367&lt;&gt;"",AO367-P367,TODAY()-P367))</f>
        <v/>
      </c>
      <c r="AS367" s="37"/>
    </row>
    <row r="368" customFormat="false" ht="21.75" hidden="false" customHeight="true" outlineLevel="0" collapsed="false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3" t="str">
        <f aca="false">IF(A368="","",SUM(Y368:AE368))</f>
        <v/>
      </c>
      <c r="AG368" s="43" t="str">
        <f aca="false">IF(AF368="","",ROUND(AF368*1.2/100,0)*100)</f>
        <v/>
      </c>
      <c r="AH368" s="43"/>
      <c r="AI368" s="43" t="str">
        <f aca="false">IF(AF368="","",ROUND(AF368*1.05/100,0)*100)</f>
        <v/>
      </c>
      <c r="AJ368" s="43" t="str">
        <f aca="false">IF(OR(AH368="",AF368=""),"",AH368-AF368)</f>
        <v/>
      </c>
      <c r="AK368" s="44" t="str">
        <f aca="false">IF(OR(AF368="",AF368=0),"",AJ368/AF368)</f>
        <v/>
      </c>
      <c r="AL368" s="43" t="str">
        <f aca="false">IF(AJ368="","",AJ368-AM368)</f>
        <v/>
      </c>
      <c r="AM368" s="45" t="str">
        <f aca="false">IF(OR(AH368="",AF368=""),"",ROUND((AH368-AF368)/1.2*0.2,2))</f>
        <v/>
      </c>
      <c r="AN368" s="44" t="str">
        <f aca="false">IF(OR(AF368="",AF368=0),"",AL368/AF368)</f>
        <v/>
      </c>
      <c r="AO368" s="42"/>
      <c r="AP368" s="42"/>
      <c r="AQ368" s="42"/>
      <c r="AR368" s="46" t="str">
        <f aca="true">IF(OR(A368="",P368=""),"",IF(AO368&lt;&gt;"",AO368-P368,TODAY()-P368))</f>
        <v/>
      </c>
      <c r="AS368" s="42"/>
    </row>
    <row r="369" customFormat="false" ht="21.75" hidden="false" customHeight="true" outlineLevel="0" collapsed="false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8" t="str">
        <f aca="false">IF(A369="","",SUM(Y369:AE369))</f>
        <v/>
      </c>
      <c r="AG369" s="38" t="str">
        <f aca="false">IF(AF369="","",ROUND(AF369*1.2/100,0)*100)</f>
        <v/>
      </c>
      <c r="AH369" s="38"/>
      <c r="AI369" s="38" t="str">
        <f aca="false">IF(AF369="","",ROUND(AF369*1.05/100,0)*100)</f>
        <v/>
      </c>
      <c r="AJ369" s="38" t="str">
        <f aca="false">IF(OR(AH369="",AF369=""),"",AH369-AF369)</f>
        <v/>
      </c>
      <c r="AK369" s="39" t="str">
        <f aca="false">IF(OR(AF369="",AF369=0),"",AJ369/AF369)</f>
        <v/>
      </c>
      <c r="AL369" s="38" t="str">
        <f aca="false">IF(AJ369="","",AJ369-AM369)</f>
        <v/>
      </c>
      <c r="AM369" s="40" t="str">
        <f aca="false">IF(OR(AH369="",AF369=""),"",ROUND((AH369-AF369)/1.2*0.2,2))</f>
        <v/>
      </c>
      <c r="AN369" s="39" t="str">
        <f aca="false">IF(OR(AF369="",AF369=0),"",AL369/AF369)</f>
        <v/>
      </c>
      <c r="AO369" s="37"/>
      <c r="AP369" s="37"/>
      <c r="AQ369" s="37"/>
      <c r="AR369" s="41" t="str">
        <f aca="true">IF(OR(A369="",P369=""),"",IF(AO369&lt;&gt;"",AO369-P369,TODAY()-P369))</f>
        <v/>
      </c>
      <c r="AS369" s="37"/>
    </row>
    <row r="370" customFormat="false" ht="21.75" hidden="false" customHeight="true" outlineLevel="0" collapsed="false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3" t="str">
        <f aca="false">IF(A370="","",SUM(Y370:AE370))</f>
        <v/>
      </c>
      <c r="AG370" s="43" t="str">
        <f aca="false">IF(AF370="","",ROUND(AF370*1.2/100,0)*100)</f>
        <v/>
      </c>
      <c r="AH370" s="43"/>
      <c r="AI370" s="43" t="str">
        <f aca="false">IF(AF370="","",ROUND(AF370*1.05/100,0)*100)</f>
        <v/>
      </c>
      <c r="AJ370" s="43" t="str">
        <f aca="false">IF(OR(AH370="",AF370=""),"",AH370-AF370)</f>
        <v/>
      </c>
      <c r="AK370" s="44" t="str">
        <f aca="false">IF(OR(AF370="",AF370=0),"",AJ370/AF370)</f>
        <v/>
      </c>
      <c r="AL370" s="43" t="str">
        <f aca="false">IF(AJ370="","",AJ370-AM370)</f>
        <v/>
      </c>
      <c r="AM370" s="45" t="str">
        <f aca="false">IF(OR(AH370="",AF370=""),"",ROUND((AH370-AF370)/1.2*0.2,2))</f>
        <v/>
      </c>
      <c r="AN370" s="44" t="str">
        <f aca="false">IF(OR(AF370="",AF370=0),"",AL370/AF370)</f>
        <v/>
      </c>
      <c r="AO370" s="42"/>
      <c r="AP370" s="42"/>
      <c r="AQ370" s="42"/>
      <c r="AR370" s="46" t="str">
        <f aca="true">IF(OR(A370="",P370=""),"",IF(AO370&lt;&gt;"",AO370-P370,TODAY()-P370))</f>
        <v/>
      </c>
      <c r="AS370" s="42"/>
    </row>
    <row r="371" customFormat="false" ht="21.75" hidden="false" customHeight="true" outlineLevel="0" collapsed="false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8" t="str">
        <f aca="false">IF(A371="","",SUM(Y371:AE371))</f>
        <v/>
      </c>
      <c r="AG371" s="38" t="str">
        <f aca="false">IF(AF371="","",ROUND(AF371*1.2/100,0)*100)</f>
        <v/>
      </c>
      <c r="AH371" s="38"/>
      <c r="AI371" s="38" t="str">
        <f aca="false">IF(AF371="","",ROUND(AF371*1.05/100,0)*100)</f>
        <v/>
      </c>
      <c r="AJ371" s="38" t="str">
        <f aca="false">IF(OR(AH371="",AF371=""),"",AH371-AF371)</f>
        <v/>
      </c>
      <c r="AK371" s="39" t="str">
        <f aca="false">IF(OR(AF371="",AF371=0),"",AJ371/AF371)</f>
        <v/>
      </c>
      <c r="AL371" s="38" t="str">
        <f aca="false">IF(AJ371="","",AJ371-AM371)</f>
        <v/>
      </c>
      <c r="AM371" s="40" t="str">
        <f aca="false">IF(OR(AH371="",AF371=""),"",ROUND((AH371-AF371)/1.2*0.2,2))</f>
        <v/>
      </c>
      <c r="AN371" s="39" t="str">
        <f aca="false">IF(OR(AF371="",AF371=0),"",AL371/AF371)</f>
        <v/>
      </c>
      <c r="AO371" s="37"/>
      <c r="AP371" s="37"/>
      <c r="AQ371" s="37"/>
      <c r="AR371" s="41" t="str">
        <f aca="true">IF(OR(A371="",P371=""),"",IF(AO371&lt;&gt;"",AO371-P371,TODAY()-P371))</f>
        <v/>
      </c>
      <c r="AS371" s="37"/>
    </row>
    <row r="372" customFormat="false" ht="21.75" hidden="false" customHeight="true" outlineLevel="0" collapsed="false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3" t="str">
        <f aca="false">IF(A372="","",SUM(Y372:AE372))</f>
        <v/>
      </c>
      <c r="AG372" s="43" t="str">
        <f aca="false">IF(AF372="","",ROUND(AF372*1.2/100,0)*100)</f>
        <v/>
      </c>
      <c r="AH372" s="43"/>
      <c r="AI372" s="43" t="str">
        <f aca="false">IF(AF372="","",ROUND(AF372*1.05/100,0)*100)</f>
        <v/>
      </c>
      <c r="AJ372" s="43" t="str">
        <f aca="false">IF(OR(AH372="",AF372=""),"",AH372-AF372)</f>
        <v/>
      </c>
      <c r="AK372" s="44" t="str">
        <f aca="false">IF(OR(AF372="",AF372=0),"",AJ372/AF372)</f>
        <v/>
      </c>
      <c r="AL372" s="43" t="str">
        <f aca="false">IF(AJ372="","",AJ372-AM372)</f>
        <v/>
      </c>
      <c r="AM372" s="45" t="str">
        <f aca="false">IF(OR(AH372="",AF372=""),"",ROUND((AH372-AF372)/1.2*0.2,2))</f>
        <v/>
      </c>
      <c r="AN372" s="44" t="str">
        <f aca="false">IF(OR(AF372="",AF372=0),"",AL372/AF372)</f>
        <v/>
      </c>
      <c r="AO372" s="42"/>
      <c r="AP372" s="42"/>
      <c r="AQ372" s="42"/>
      <c r="AR372" s="46" t="str">
        <f aca="true">IF(OR(A372="",P372=""),"",IF(AO372&lt;&gt;"",AO372-P372,TODAY()-P372))</f>
        <v/>
      </c>
      <c r="AS372" s="42"/>
    </row>
    <row r="373" customFormat="false" ht="21.75" hidden="false" customHeight="true" outlineLevel="0" collapsed="false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8" t="str">
        <f aca="false">IF(A373="","",SUM(Y373:AE373))</f>
        <v/>
      </c>
      <c r="AG373" s="38" t="str">
        <f aca="false">IF(AF373="","",ROUND(AF373*1.2/100,0)*100)</f>
        <v/>
      </c>
      <c r="AH373" s="38"/>
      <c r="AI373" s="38" t="str">
        <f aca="false">IF(AF373="","",ROUND(AF373*1.05/100,0)*100)</f>
        <v/>
      </c>
      <c r="AJ373" s="38" t="str">
        <f aca="false">IF(OR(AH373="",AF373=""),"",AH373-AF373)</f>
        <v/>
      </c>
      <c r="AK373" s="39" t="str">
        <f aca="false">IF(OR(AF373="",AF373=0),"",AJ373/AF373)</f>
        <v/>
      </c>
      <c r="AL373" s="38" t="str">
        <f aca="false">IF(AJ373="","",AJ373-AM373)</f>
        <v/>
      </c>
      <c r="AM373" s="40" t="str">
        <f aca="false">IF(OR(AH373="",AF373=""),"",ROUND((AH373-AF373)/1.2*0.2,2))</f>
        <v/>
      </c>
      <c r="AN373" s="39" t="str">
        <f aca="false">IF(OR(AF373="",AF373=0),"",AL373/AF373)</f>
        <v/>
      </c>
      <c r="AO373" s="37"/>
      <c r="AP373" s="37"/>
      <c r="AQ373" s="37"/>
      <c r="AR373" s="41" t="str">
        <f aca="true">IF(OR(A373="",P373=""),"",IF(AO373&lt;&gt;"",AO373-P373,TODAY()-P373))</f>
        <v/>
      </c>
      <c r="AS373" s="37"/>
    </row>
    <row r="374" customFormat="false" ht="21.75" hidden="false" customHeight="true" outlineLevel="0" collapsed="false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3" t="str">
        <f aca="false">IF(A374="","",SUM(Y374:AE374))</f>
        <v/>
      </c>
      <c r="AG374" s="43" t="str">
        <f aca="false">IF(AF374="","",ROUND(AF374*1.2/100,0)*100)</f>
        <v/>
      </c>
      <c r="AH374" s="43"/>
      <c r="AI374" s="43" t="str">
        <f aca="false">IF(AF374="","",ROUND(AF374*1.05/100,0)*100)</f>
        <v/>
      </c>
      <c r="AJ374" s="43" t="str">
        <f aca="false">IF(OR(AH374="",AF374=""),"",AH374-AF374)</f>
        <v/>
      </c>
      <c r="AK374" s="44" t="str">
        <f aca="false">IF(OR(AF374="",AF374=0),"",AJ374/AF374)</f>
        <v/>
      </c>
      <c r="AL374" s="43" t="str">
        <f aca="false">IF(AJ374="","",AJ374-AM374)</f>
        <v/>
      </c>
      <c r="AM374" s="45" t="str">
        <f aca="false">IF(OR(AH374="",AF374=""),"",ROUND((AH374-AF374)/1.2*0.2,2))</f>
        <v/>
      </c>
      <c r="AN374" s="44" t="str">
        <f aca="false">IF(OR(AF374="",AF374=0),"",AL374/AF374)</f>
        <v/>
      </c>
      <c r="AO374" s="42"/>
      <c r="AP374" s="42"/>
      <c r="AQ374" s="42"/>
      <c r="AR374" s="46" t="str">
        <f aca="true">IF(OR(A374="",P374=""),"",IF(AO374&lt;&gt;"",AO374-P374,TODAY()-P374))</f>
        <v/>
      </c>
      <c r="AS374" s="42"/>
    </row>
    <row r="375" customFormat="false" ht="21.75" hidden="false" customHeight="true" outlineLevel="0" collapsed="false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8" t="str">
        <f aca="false">IF(A375="","",SUM(Y375:AE375))</f>
        <v/>
      </c>
      <c r="AG375" s="38" t="str">
        <f aca="false">IF(AF375="","",ROUND(AF375*1.2/100,0)*100)</f>
        <v/>
      </c>
      <c r="AH375" s="38"/>
      <c r="AI375" s="38" t="str">
        <f aca="false">IF(AF375="","",ROUND(AF375*1.05/100,0)*100)</f>
        <v/>
      </c>
      <c r="AJ375" s="38" t="str">
        <f aca="false">IF(OR(AH375="",AF375=""),"",AH375-AF375)</f>
        <v/>
      </c>
      <c r="AK375" s="39" t="str">
        <f aca="false">IF(OR(AF375="",AF375=0),"",AJ375/AF375)</f>
        <v/>
      </c>
      <c r="AL375" s="38" t="str">
        <f aca="false">IF(AJ375="","",AJ375-AM375)</f>
        <v/>
      </c>
      <c r="AM375" s="40" t="str">
        <f aca="false">IF(OR(AH375="",AF375=""),"",ROUND((AH375-AF375)/1.2*0.2,2))</f>
        <v/>
      </c>
      <c r="AN375" s="39" t="str">
        <f aca="false">IF(OR(AF375="",AF375=0),"",AL375/AF375)</f>
        <v/>
      </c>
      <c r="AO375" s="37"/>
      <c r="AP375" s="37"/>
      <c r="AQ375" s="37"/>
      <c r="AR375" s="41" t="str">
        <f aca="true">IF(OR(A375="",P375=""),"",IF(AO375&lt;&gt;"",AO375-P375,TODAY()-P375))</f>
        <v/>
      </c>
      <c r="AS375" s="37"/>
    </row>
    <row r="376" customFormat="false" ht="21.75" hidden="false" customHeight="true" outlineLevel="0" collapsed="false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3" t="str">
        <f aca="false">IF(A376="","",SUM(Y376:AE376))</f>
        <v/>
      </c>
      <c r="AG376" s="43" t="str">
        <f aca="false">IF(AF376="","",ROUND(AF376*1.2/100,0)*100)</f>
        <v/>
      </c>
      <c r="AH376" s="43"/>
      <c r="AI376" s="43" t="str">
        <f aca="false">IF(AF376="","",ROUND(AF376*1.05/100,0)*100)</f>
        <v/>
      </c>
      <c r="AJ376" s="43" t="str">
        <f aca="false">IF(OR(AH376="",AF376=""),"",AH376-AF376)</f>
        <v/>
      </c>
      <c r="AK376" s="44" t="str">
        <f aca="false">IF(OR(AF376="",AF376=0),"",AJ376/AF376)</f>
        <v/>
      </c>
      <c r="AL376" s="43" t="str">
        <f aca="false">IF(AJ376="","",AJ376-AM376)</f>
        <v/>
      </c>
      <c r="AM376" s="45" t="str">
        <f aca="false">IF(OR(AH376="",AF376=""),"",ROUND((AH376-AF376)/1.2*0.2,2))</f>
        <v/>
      </c>
      <c r="AN376" s="44" t="str">
        <f aca="false">IF(OR(AF376="",AF376=0),"",AL376/AF376)</f>
        <v/>
      </c>
      <c r="AO376" s="42"/>
      <c r="AP376" s="42"/>
      <c r="AQ376" s="42"/>
      <c r="AR376" s="46" t="str">
        <f aca="true">IF(OR(A376="",P376=""),"",IF(AO376&lt;&gt;"",AO376-P376,TODAY()-P376))</f>
        <v/>
      </c>
      <c r="AS376" s="42"/>
    </row>
    <row r="377" customFormat="false" ht="21.75" hidden="false" customHeight="true" outlineLevel="0" collapsed="false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8" t="str">
        <f aca="false">IF(A377="","",SUM(Y377:AE377))</f>
        <v/>
      </c>
      <c r="AG377" s="38" t="str">
        <f aca="false">IF(AF377="","",ROUND(AF377*1.2/100,0)*100)</f>
        <v/>
      </c>
      <c r="AH377" s="38"/>
      <c r="AI377" s="38" t="str">
        <f aca="false">IF(AF377="","",ROUND(AF377*1.05/100,0)*100)</f>
        <v/>
      </c>
      <c r="AJ377" s="38" t="str">
        <f aca="false">IF(OR(AH377="",AF377=""),"",AH377-AF377)</f>
        <v/>
      </c>
      <c r="AK377" s="39" t="str">
        <f aca="false">IF(OR(AF377="",AF377=0),"",AJ377/AF377)</f>
        <v/>
      </c>
      <c r="AL377" s="38" t="str">
        <f aca="false">IF(AJ377="","",AJ377-AM377)</f>
        <v/>
      </c>
      <c r="AM377" s="40" t="str">
        <f aca="false">IF(OR(AH377="",AF377=""),"",ROUND((AH377-AF377)/1.2*0.2,2))</f>
        <v/>
      </c>
      <c r="AN377" s="39" t="str">
        <f aca="false">IF(OR(AF377="",AF377=0),"",AL377/AF377)</f>
        <v/>
      </c>
      <c r="AO377" s="37"/>
      <c r="AP377" s="37"/>
      <c r="AQ377" s="37"/>
      <c r="AR377" s="41" t="str">
        <f aca="true">IF(OR(A377="",P377=""),"",IF(AO377&lt;&gt;"",AO377-P377,TODAY()-P377))</f>
        <v/>
      </c>
      <c r="AS377" s="37"/>
    </row>
    <row r="378" customFormat="false" ht="21.75" hidden="false" customHeight="true" outlineLevel="0" collapsed="false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3" t="str">
        <f aca="false">IF(A378="","",SUM(Y378:AE378))</f>
        <v/>
      </c>
      <c r="AG378" s="43" t="str">
        <f aca="false">IF(AF378="","",ROUND(AF378*1.2/100,0)*100)</f>
        <v/>
      </c>
      <c r="AH378" s="43"/>
      <c r="AI378" s="43" t="str">
        <f aca="false">IF(AF378="","",ROUND(AF378*1.05/100,0)*100)</f>
        <v/>
      </c>
      <c r="AJ378" s="43" t="str">
        <f aca="false">IF(OR(AH378="",AF378=""),"",AH378-AF378)</f>
        <v/>
      </c>
      <c r="AK378" s="44" t="str">
        <f aca="false">IF(OR(AF378="",AF378=0),"",AJ378/AF378)</f>
        <v/>
      </c>
      <c r="AL378" s="43" t="str">
        <f aca="false">IF(AJ378="","",AJ378-AM378)</f>
        <v/>
      </c>
      <c r="AM378" s="45" t="str">
        <f aca="false">IF(OR(AH378="",AF378=""),"",ROUND((AH378-AF378)/1.2*0.2,2))</f>
        <v/>
      </c>
      <c r="AN378" s="44" t="str">
        <f aca="false">IF(OR(AF378="",AF378=0),"",AL378/AF378)</f>
        <v/>
      </c>
      <c r="AO378" s="42"/>
      <c r="AP378" s="42"/>
      <c r="AQ378" s="42"/>
      <c r="AR378" s="46" t="str">
        <f aca="true">IF(OR(A378="",P378=""),"",IF(AO378&lt;&gt;"",AO378-P378,TODAY()-P378))</f>
        <v/>
      </c>
      <c r="AS378" s="42"/>
    </row>
    <row r="379" customFormat="false" ht="21.75" hidden="false" customHeight="true" outlineLevel="0" collapsed="false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8" t="str">
        <f aca="false">IF(A379="","",SUM(Y379:AE379))</f>
        <v/>
      </c>
      <c r="AG379" s="38" t="str">
        <f aca="false">IF(AF379="","",ROUND(AF379*1.2/100,0)*100)</f>
        <v/>
      </c>
      <c r="AH379" s="38"/>
      <c r="AI379" s="38" t="str">
        <f aca="false">IF(AF379="","",ROUND(AF379*1.05/100,0)*100)</f>
        <v/>
      </c>
      <c r="AJ379" s="38" t="str">
        <f aca="false">IF(OR(AH379="",AF379=""),"",AH379-AF379)</f>
        <v/>
      </c>
      <c r="AK379" s="39" t="str">
        <f aca="false">IF(OR(AF379="",AF379=0),"",AJ379/AF379)</f>
        <v/>
      </c>
      <c r="AL379" s="38" t="str">
        <f aca="false">IF(AJ379="","",AJ379-AM379)</f>
        <v/>
      </c>
      <c r="AM379" s="40" t="str">
        <f aca="false">IF(OR(AH379="",AF379=""),"",ROUND((AH379-AF379)/1.2*0.2,2))</f>
        <v/>
      </c>
      <c r="AN379" s="39" t="str">
        <f aca="false">IF(OR(AF379="",AF379=0),"",AL379/AF379)</f>
        <v/>
      </c>
      <c r="AO379" s="37"/>
      <c r="AP379" s="37"/>
      <c r="AQ379" s="37"/>
      <c r="AR379" s="41" t="str">
        <f aca="true">IF(OR(A379="",P379=""),"",IF(AO379&lt;&gt;"",AO379-P379,TODAY()-P379))</f>
        <v/>
      </c>
      <c r="AS379" s="37"/>
    </row>
    <row r="380" customFormat="false" ht="21.75" hidden="false" customHeight="true" outlineLevel="0" collapsed="false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3" t="str">
        <f aca="false">IF(A380="","",SUM(Y380:AE380))</f>
        <v/>
      </c>
      <c r="AG380" s="43" t="str">
        <f aca="false">IF(AF380="","",ROUND(AF380*1.2/100,0)*100)</f>
        <v/>
      </c>
      <c r="AH380" s="43"/>
      <c r="AI380" s="43" t="str">
        <f aca="false">IF(AF380="","",ROUND(AF380*1.05/100,0)*100)</f>
        <v/>
      </c>
      <c r="AJ380" s="43" t="str">
        <f aca="false">IF(OR(AH380="",AF380=""),"",AH380-AF380)</f>
        <v/>
      </c>
      <c r="AK380" s="44" t="str">
        <f aca="false">IF(OR(AF380="",AF380=0),"",AJ380/AF380)</f>
        <v/>
      </c>
      <c r="AL380" s="43" t="str">
        <f aca="false">IF(AJ380="","",AJ380-AM380)</f>
        <v/>
      </c>
      <c r="AM380" s="45" t="str">
        <f aca="false">IF(OR(AH380="",AF380=""),"",ROUND((AH380-AF380)/1.2*0.2,2))</f>
        <v/>
      </c>
      <c r="AN380" s="44" t="str">
        <f aca="false">IF(OR(AF380="",AF380=0),"",AL380/AF380)</f>
        <v/>
      </c>
      <c r="AO380" s="42"/>
      <c r="AP380" s="42"/>
      <c r="AQ380" s="42"/>
      <c r="AR380" s="46" t="str">
        <f aca="true">IF(OR(A380="",P380=""),"",IF(AO380&lt;&gt;"",AO380-P380,TODAY()-P380))</f>
        <v/>
      </c>
      <c r="AS380" s="42"/>
    </row>
    <row r="381" customFormat="false" ht="21.75" hidden="false" customHeight="true" outlineLevel="0" collapsed="false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8" t="str">
        <f aca="false">IF(A381="","",SUM(Y381:AE381))</f>
        <v/>
      </c>
      <c r="AG381" s="38" t="str">
        <f aca="false">IF(AF381="","",ROUND(AF381*1.2/100,0)*100)</f>
        <v/>
      </c>
      <c r="AH381" s="38"/>
      <c r="AI381" s="38" t="str">
        <f aca="false">IF(AF381="","",ROUND(AF381*1.05/100,0)*100)</f>
        <v/>
      </c>
      <c r="AJ381" s="38" t="str">
        <f aca="false">IF(OR(AH381="",AF381=""),"",AH381-AF381)</f>
        <v/>
      </c>
      <c r="AK381" s="39" t="str">
        <f aca="false">IF(OR(AF381="",AF381=0),"",AJ381/AF381)</f>
        <v/>
      </c>
      <c r="AL381" s="38" t="str">
        <f aca="false">IF(AJ381="","",AJ381-AM381)</f>
        <v/>
      </c>
      <c r="AM381" s="40" t="str">
        <f aca="false">IF(OR(AH381="",AF381=""),"",ROUND((AH381-AF381)/1.2*0.2,2))</f>
        <v/>
      </c>
      <c r="AN381" s="39" t="str">
        <f aca="false">IF(OR(AF381="",AF381=0),"",AL381/AF381)</f>
        <v/>
      </c>
      <c r="AO381" s="37"/>
      <c r="AP381" s="37"/>
      <c r="AQ381" s="37"/>
      <c r="AR381" s="41" t="str">
        <f aca="true">IF(OR(A381="",P381=""),"",IF(AO381&lt;&gt;"",AO381-P381,TODAY()-P381))</f>
        <v/>
      </c>
      <c r="AS381" s="37"/>
    </row>
    <row r="382" customFormat="false" ht="21.75" hidden="false" customHeight="true" outlineLevel="0" collapsed="false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3" t="str">
        <f aca="false">IF(A382="","",SUM(Y382:AE382))</f>
        <v/>
      </c>
      <c r="AG382" s="43" t="str">
        <f aca="false">IF(AF382="","",ROUND(AF382*1.2/100,0)*100)</f>
        <v/>
      </c>
      <c r="AH382" s="43"/>
      <c r="AI382" s="43" t="str">
        <f aca="false">IF(AF382="","",ROUND(AF382*1.05/100,0)*100)</f>
        <v/>
      </c>
      <c r="AJ382" s="43" t="str">
        <f aca="false">IF(OR(AH382="",AF382=""),"",AH382-AF382)</f>
        <v/>
      </c>
      <c r="AK382" s="44" t="str">
        <f aca="false">IF(OR(AF382="",AF382=0),"",AJ382/AF382)</f>
        <v/>
      </c>
      <c r="AL382" s="43" t="str">
        <f aca="false">IF(AJ382="","",AJ382-AM382)</f>
        <v/>
      </c>
      <c r="AM382" s="45" t="str">
        <f aca="false">IF(OR(AH382="",AF382=""),"",ROUND((AH382-AF382)/1.2*0.2,2))</f>
        <v/>
      </c>
      <c r="AN382" s="44" t="str">
        <f aca="false">IF(OR(AF382="",AF382=0),"",AL382/AF382)</f>
        <v/>
      </c>
      <c r="AO382" s="42"/>
      <c r="AP382" s="42"/>
      <c r="AQ382" s="42"/>
      <c r="AR382" s="46" t="str">
        <f aca="true">IF(OR(A382="",P382=""),"",IF(AO382&lt;&gt;"",AO382-P382,TODAY()-P382))</f>
        <v/>
      </c>
      <c r="AS382" s="42"/>
    </row>
    <row r="383" customFormat="false" ht="21.75" hidden="false" customHeight="true" outlineLevel="0" collapsed="false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8" t="str">
        <f aca="false">IF(A383="","",SUM(Y383:AE383))</f>
        <v/>
      </c>
      <c r="AG383" s="38" t="str">
        <f aca="false">IF(AF383="","",ROUND(AF383*1.2/100,0)*100)</f>
        <v/>
      </c>
      <c r="AH383" s="38"/>
      <c r="AI383" s="38" t="str">
        <f aca="false">IF(AF383="","",ROUND(AF383*1.05/100,0)*100)</f>
        <v/>
      </c>
      <c r="AJ383" s="38" t="str">
        <f aca="false">IF(OR(AH383="",AF383=""),"",AH383-AF383)</f>
        <v/>
      </c>
      <c r="AK383" s="39" t="str">
        <f aca="false">IF(OR(AF383="",AF383=0),"",AJ383/AF383)</f>
        <v/>
      </c>
      <c r="AL383" s="38" t="str">
        <f aca="false">IF(AJ383="","",AJ383-AM383)</f>
        <v/>
      </c>
      <c r="AM383" s="40" t="str">
        <f aca="false">IF(OR(AH383="",AF383=""),"",ROUND((AH383-AF383)/1.2*0.2,2))</f>
        <v/>
      </c>
      <c r="AN383" s="39" t="str">
        <f aca="false">IF(OR(AF383="",AF383=0),"",AL383/AF383)</f>
        <v/>
      </c>
      <c r="AO383" s="37"/>
      <c r="AP383" s="37"/>
      <c r="AQ383" s="37"/>
      <c r="AR383" s="41" t="str">
        <f aca="true">IF(OR(A383="",P383=""),"",IF(AO383&lt;&gt;"",AO383-P383,TODAY()-P383))</f>
        <v/>
      </c>
      <c r="AS383" s="37"/>
    </row>
    <row r="384" customFormat="false" ht="21.75" hidden="false" customHeight="true" outlineLevel="0" collapsed="false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3" t="str">
        <f aca="false">IF(A384="","",SUM(Y384:AE384))</f>
        <v/>
      </c>
      <c r="AG384" s="43" t="str">
        <f aca="false">IF(AF384="","",ROUND(AF384*1.2/100,0)*100)</f>
        <v/>
      </c>
      <c r="AH384" s="43"/>
      <c r="AI384" s="43" t="str">
        <f aca="false">IF(AF384="","",ROUND(AF384*1.05/100,0)*100)</f>
        <v/>
      </c>
      <c r="AJ384" s="43" t="str">
        <f aca="false">IF(OR(AH384="",AF384=""),"",AH384-AF384)</f>
        <v/>
      </c>
      <c r="AK384" s="44" t="str">
        <f aca="false">IF(OR(AF384="",AF384=0),"",AJ384/AF384)</f>
        <v/>
      </c>
      <c r="AL384" s="43" t="str">
        <f aca="false">IF(AJ384="","",AJ384-AM384)</f>
        <v/>
      </c>
      <c r="AM384" s="45" t="str">
        <f aca="false">IF(OR(AH384="",AF384=""),"",ROUND((AH384-AF384)/1.2*0.2,2))</f>
        <v/>
      </c>
      <c r="AN384" s="44" t="str">
        <f aca="false">IF(OR(AF384="",AF384=0),"",AL384/AF384)</f>
        <v/>
      </c>
      <c r="AO384" s="42"/>
      <c r="AP384" s="42"/>
      <c r="AQ384" s="42"/>
      <c r="AR384" s="46" t="str">
        <f aca="true">IF(OR(A384="",P384=""),"",IF(AO384&lt;&gt;"",AO384-P384,TODAY()-P384))</f>
        <v/>
      </c>
      <c r="AS384" s="42"/>
    </row>
    <row r="385" customFormat="false" ht="21.75" hidden="false" customHeight="true" outlineLevel="0" collapsed="false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8" t="str">
        <f aca="false">IF(A385="","",SUM(Y385:AE385))</f>
        <v/>
      </c>
      <c r="AG385" s="38" t="str">
        <f aca="false">IF(AF385="","",ROUND(AF385*1.2/100,0)*100)</f>
        <v/>
      </c>
      <c r="AH385" s="38"/>
      <c r="AI385" s="38" t="str">
        <f aca="false">IF(AF385="","",ROUND(AF385*1.05/100,0)*100)</f>
        <v/>
      </c>
      <c r="AJ385" s="38" t="str">
        <f aca="false">IF(OR(AH385="",AF385=""),"",AH385-AF385)</f>
        <v/>
      </c>
      <c r="AK385" s="39" t="str">
        <f aca="false">IF(OR(AF385="",AF385=0),"",AJ385/AF385)</f>
        <v/>
      </c>
      <c r="AL385" s="38" t="str">
        <f aca="false">IF(AJ385="","",AJ385-AM385)</f>
        <v/>
      </c>
      <c r="AM385" s="40" t="str">
        <f aca="false">IF(OR(AH385="",AF385=""),"",ROUND((AH385-AF385)/1.2*0.2,2))</f>
        <v/>
      </c>
      <c r="AN385" s="39" t="str">
        <f aca="false">IF(OR(AF385="",AF385=0),"",AL385/AF385)</f>
        <v/>
      </c>
      <c r="AO385" s="37"/>
      <c r="AP385" s="37"/>
      <c r="AQ385" s="37"/>
      <c r="AR385" s="41" t="str">
        <f aca="true">IF(OR(A385="",P385=""),"",IF(AO385&lt;&gt;"",AO385-P385,TODAY()-P385))</f>
        <v/>
      </c>
      <c r="AS385" s="37"/>
    </row>
    <row r="386" customFormat="false" ht="21.75" hidden="false" customHeight="true" outlineLevel="0" collapsed="false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3" t="str">
        <f aca="false">IF(A386="","",SUM(Y386:AE386))</f>
        <v/>
      </c>
      <c r="AG386" s="43" t="str">
        <f aca="false">IF(AF386="","",ROUND(AF386*1.2/100,0)*100)</f>
        <v/>
      </c>
      <c r="AH386" s="43"/>
      <c r="AI386" s="43" t="str">
        <f aca="false">IF(AF386="","",ROUND(AF386*1.05/100,0)*100)</f>
        <v/>
      </c>
      <c r="AJ386" s="43" t="str">
        <f aca="false">IF(OR(AH386="",AF386=""),"",AH386-AF386)</f>
        <v/>
      </c>
      <c r="AK386" s="44" t="str">
        <f aca="false">IF(OR(AF386="",AF386=0),"",AJ386/AF386)</f>
        <v/>
      </c>
      <c r="AL386" s="43" t="str">
        <f aca="false">IF(AJ386="","",AJ386-AM386)</f>
        <v/>
      </c>
      <c r="AM386" s="45" t="str">
        <f aca="false">IF(OR(AH386="",AF386=""),"",ROUND((AH386-AF386)/1.2*0.2,2))</f>
        <v/>
      </c>
      <c r="AN386" s="44" t="str">
        <f aca="false">IF(OR(AF386="",AF386=0),"",AL386/AF386)</f>
        <v/>
      </c>
      <c r="AO386" s="42"/>
      <c r="AP386" s="42"/>
      <c r="AQ386" s="42"/>
      <c r="AR386" s="46" t="str">
        <f aca="true">IF(OR(A386="",P386=""),"",IF(AO386&lt;&gt;"",AO386-P386,TODAY()-P386))</f>
        <v/>
      </c>
      <c r="AS386" s="42"/>
    </row>
    <row r="387" customFormat="false" ht="21.75" hidden="false" customHeight="true" outlineLevel="0" collapsed="false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8" t="str">
        <f aca="false">IF(A387="","",SUM(Y387:AE387))</f>
        <v/>
      </c>
      <c r="AG387" s="38" t="str">
        <f aca="false">IF(AF387="","",ROUND(AF387*1.2/100,0)*100)</f>
        <v/>
      </c>
      <c r="AH387" s="38"/>
      <c r="AI387" s="38" t="str">
        <f aca="false">IF(AF387="","",ROUND(AF387*1.05/100,0)*100)</f>
        <v/>
      </c>
      <c r="AJ387" s="38" t="str">
        <f aca="false">IF(OR(AH387="",AF387=""),"",AH387-AF387)</f>
        <v/>
      </c>
      <c r="AK387" s="39" t="str">
        <f aca="false">IF(OR(AF387="",AF387=0),"",AJ387/AF387)</f>
        <v/>
      </c>
      <c r="AL387" s="38" t="str">
        <f aca="false">IF(AJ387="","",AJ387-AM387)</f>
        <v/>
      </c>
      <c r="AM387" s="40" t="str">
        <f aca="false">IF(OR(AH387="",AF387=""),"",ROUND((AH387-AF387)/1.2*0.2,2))</f>
        <v/>
      </c>
      <c r="AN387" s="39" t="str">
        <f aca="false">IF(OR(AF387="",AF387=0),"",AL387/AF387)</f>
        <v/>
      </c>
      <c r="AO387" s="37"/>
      <c r="AP387" s="37"/>
      <c r="AQ387" s="37"/>
      <c r="AR387" s="41" t="str">
        <f aca="true">IF(OR(A387="",P387=""),"",IF(AO387&lt;&gt;"",AO387-P387,TODAY()-P387))</f>
        <v/>
      </c>
      <c r="AS387" s="37"/>
    </row>
    <row r="388" customFormat="false" ht="21.75" hidden="false" customHeight="true" outlineLevel="0" collapsed="false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3" t="str">
        <f aca="false">IF(A388="","",SUM(Y388:AE388))</f>
        <v/>
      </c>
      <c r="AG388" s="43" t="str">
        <f aca="false">IF(AF388="","",ROUND(AF388*1.2/100,0)*100)</f>
        <v/>
      </c>
      <c r="AH388" s="43"/>
      <c r="AI388" s="43" t="str">
        <f aca="false">IF(AF388="","",ROUND(AF388*1.05/100,0)*100)</f>
        <v/>
      </c>
      <c r="AJ388" s="43" t="str">
        <f aca="false">IF(OR(AH388="",AF388=""),"",AH388-AF388)</f>
        <v/>
      </c>
      <c r="AK388" s="44" t="str">
        <f aca="false">IF(OR(AF388="",AF388=0),"",AJ388/AF388)</f>
        <v/>
      </c>
      <c r="AL388" s="43" t="str">
        <f aca="false">IF(AJ388="","",AJ388-AM388)</f>
        <v/>
      </c>
      <c r="AM388" s="45" t="str">
        <f aca="false">IF(OR(AH388="",AF388=""),"",ROUND((AH388-AF388)/1.2*0.2,2))</f>
        <v/>
      </c>
      <c r="AN388" s="44" t="str">
        <f aca="false">IF(OR(AF388="",AF388=0),"",AL388/AF388)</f>
        <v/>
      </c>
      <c r="AO388" s="42"/>
      <c r="AP388" s="42"/>
      <c r="AQ388" s="42"/>
      <c r="AR388" s="46" t="str">
        <f aca="true">IF(OR(A388="",P388=""),"",IF(AO388&lt;&gt;"",AO388-P388,TODAY()-P388))</f>
        <v/>
      </c>
      <c r="AS388" s="42"/>
    </row>
    <row r="389" customFormat="false" ht="21.75" hidden="false" customHeight="true" outlineLevel="0" collapsed="false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8" t="str">
        <f aca="false">IF(A389="","",SUM(Y389:AE389))</f>
        <v/>
      </c>
      <c r="AG389" s="38" t="str">
        <f aca="false">IF(AF389="","",ROUND(AF389*1.2/100,0)*100)</f>
        <v/>
      </c>
      <c r="AH389" s="38"/>
      <c r="AI389" s="38" t="str">
        <f aca="false">IF(AF389="","",ROUND(AF389*1.05/100,0)*100)</f>
        <v/>
      </c>
      <c r="AJ389" s="38" t="str">
        <f aca="false">IF(OR(AH389="",AF389=""),"",AH389-AF389)</f>
        <v/>
      </c>
      <c r="AK389" s="39" t="str">
        <f aca="false">IF(OR(AF389="",AF389=0),"",AJ389/AF389)</f>
        <v/>
      </c>
      <c r="AL389" s="38" t="str">
        <f aca="false">IF(AJ389="","",AJ389-AM389)</f>
        <v/>
      </c>
      <c r="AM389" s="40" t="str">
        <f aca="false">IF(OR(AH389="",AF389=""),"",ROUND((AH389-AF389)/1.2*0.2,2))</f>
        <v/>
      </c>
      <c r="AN389" s="39" t="str">
        <f aca="false">IF(OR(AF389="",AF389=0),"",AL389/AF389)</f>
        <v/>
      </c>
      <c r="AO389" s="37"/>
      <c r="AP389" s="37"/>
      <c r="AQ389" s="37"/>
      <c r="AR389" s="41" t="str">
        <f aca="true">IF(OR(A389="",P389=""),"",IF(AO389&lt;&gt;"",AO389-P389,TODAY()-P389))</f>
        <v/>
      </c>
      <c r="AS389" s="37"/>
    </row>
    <row r="390" customFormat="false" ht="21.75" hidden="false" customHeight="true" outlineLevel="0" collapsed="false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3" t="str">
        <f aca="false">IF(A390="","",SUM(Y390:AE390))</f>
        <v/>
      </c>
      <c r="AG390" s="43" t="str">
        <f aca="false">IF(AF390="","",ROUND(AF390*1.2/100,0)*100)</f>
        <v/>
      </c>
      <c r="AH390" s="43"/>
      <c r="AI390" s="43" t="str">
        <f aca="false">IF(AF390="","",ROUND(AF390*1.05/100,0)*100)</f>
        <v/>
      </c>
      <c r="AJ390" s="43" t="str">
        <f aca="false">IF(OR(AH390="",AF390=""),"",AH390-AF390)</f>
        <v/>
      </c>
      <c r="AK390" s="44" t="str">
        <f aca="false">IF(OR(AF390="",AF390=0),"",AJ390/AF390)</f>
        <v/>
      </c>
      <c r="AL390" s="43" t="str">
        <f aca="false">IF(AJ390="","",AJ390-AM390)</f>
        <v/>
      </c>
      <c r="AM390" s="45" t="str">
        <f aca="false">IF(OR(AH390="",AF390=""),"",ROUND((AH390-AF390)/1.2*0.2,2))</f>
        <v/>
      </c>
      <c r="AN390" s="44" t="str">
        <f aca="false">IF(OR(AF390="",AF390=0),"",AL390/AF390)</f>
        <v/>
      </c>
      <c r="AO390" s="42"/>
      <c r="AP390" s="42"/>
      <c r="AQ390" s="42"/>
      <c r="AR390" s="46" t="str">
        <f aca="true">IF(OR(A390="",P390=""),"",IF(AO390&lt;&gt;"",AO390-P390,TODAY()-P390))</f>
        <v/>
      </c>
      <c r="AS390" s="42"/>
    </row>
    <row r="391" customFormat="false" ht="21.75" hidden="false" customHeight="true" outlineLevel="0" collapsed="false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8" t="str">
        <f aca="false">IF(A391="","",SUM(Y391:AE391))</f>
        <v/>
      </c>
      <c r="AG391" s="38" t="str">
        <f aca="false">IF(AF391="","",ROUND(AF391*1.2/100,0)*100)</f>
        <v/>
      </c>
      <c r="AH391" s="38"/>
      <c r="AI391" s="38" t="str">
        <f aca="false">IF(AF391="","",ROUND(AF391*1.05/100,0)*100)</f>
        <v/>
      </c>
      <c r="AJ391" s="38" t="str">
        <f aca="false">IF(OR(AH391="",AF391=""),"",AH391-AF391)</f>
        <v/>
      </c>
      <c r="AK391" s="39" t="str">
        <f aca="false">IF(OR(AF391="",AF391=0),"",AJ391/AF391)</f>
        <v/>
      </c>
      <c r="AL391" s="38" t="str">
        <f aca="false">IF(AJ391="","",AJ391-AM391)</f>
        <v/>
      </c>
      <c r="AM391" s="40" t="str">
        <f aca="false">IF(OR(AH391="",AF391=""),"",ROUND((AH391-AF391)/1.2*0.2,2))</f>
        <v/>
      </c>
      <c r="AN391" s="39" t="str">
        <f aca="false">IF(OR(AF391="",AF391=0),"",AL391/AF391)</f>
        <v/>
      </c>
      <c r="AO391" s="37"/>
      <c r="AP391" s="37"/>
      <c r="AQ391" s="37"/>
      <c r="AR391" s="41" t="str">
        <f aca="true">IF(OR(A391="",P391=""),"",IF(AO391&lt;&gt;"",AO391-P391,TODAY()-P391))</f>
        <v/>
      </c>
      <c r="AS391" s="37"/>
    </row>
    <row r="392" customFormat="false" ht="21.75" hidden="false" customHeight="true" outlineLevel="0" collapsed="false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3" t="str">
        <f aca="false">IF(A392="","",SUM(Y392:AE392))</f>
        <v/>
      </c>
      <c r="AG392" s="43" t="str">
        <f aca="false">IF(AF392="","",ROUND(AF392*1.2/100,0)*100)</f>
        <v/>
      </c>
      <c r="AH392" s="43"/>
      <c r="AI392" s="43" t="str">
        <f aca="false">IF(AF392="","",ROUND(AF392*1.05/100,0)*100)</f>
        <v/>
      </c>
      <c r="AJ392" s="43" t="str">
        <f aca="false">IF(OR(AH392="",AF392=""),"",AH392-AF392)</f>
        <v/>
      </c>
      <c r="AK392" s="44" t="str">
        <f aca="false">IF(OR(AF392="",AF392=0),"",AJ392/AF392)</f>
        <v/>
      </c>
      <c r="AL392" s="43" t="str">
        <f aca="false">IF(AJ392="","",AJ392-AM392)</f>
        <v/>
      </c>
      <c r="AM392" s="45" t="str">
        <f aca="false">IF(OR(AH392="",AF392=""),"",ROUND((AH392-AF392)/1.2*0.2,2))</f>
        <v/>
      </c>
      <c r="AN392" s="44" t="str">
        <f aca="false">IF(OR(AF392="",AF392=0),"",AL392/AF392)</f>
        <v/>
      </c>
      <c r="AO392" s="42"/>
      <c r="AP392" s="42"/>
      <c r="AQ392" s="42"/>
      <c r="AR392" s="46" t="str">
        <f aca="true">IF(OR(A392="",P392=""),"",IF(AO392&lt;&gt;"",AO392-P392,TODAY()-P392))</f>
        <v/>
      </c>
      <c r="AS392" s="42"/>
    </row>
    <row r="393" customFormat="false" ht="21.75" hidden="false" customHeight="true" outlineLevel="0" collapsed="false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8" t="str">
        <f aca="false">IF(A393="","",SUM(Y393:AE393))</f>
        <v/>
      </c>
      <c r="AG393" s="38" t="str">
        <f aca="false">IF(AF393="","",ROUND(AF393*1.2/100,0)*100)</f>
        <v/>
      </c>
      <c r="AH393" s="38"/>
      <c r="AI393" s="38" t="str">
        <f aca="false">IF(AF393="","",ROUND(AF393*1.05/100,0)*100)</f>
        <v/>
      </c>
      <c r="AJ393" s="38" t="str">
        <f aca="false">IF(OR(AH393="",AF393=""),"",AH393-AF393)</f>
        <v/>
      </c>
      <c r="AK393" s="39" t="str">
        <f aca="false">IF(OR(AF393="",AF393=0),"",AJ393/AF393)</f>
        <v/>
      </c>
      <c r="AL393" s="38" t="str">
        <f aca="false">IF(AJ393="","",AJ393-AM393)</f>
        <v/>
      </c>
      <c r="AM393" s="40" t="str">
        <f aca="false">IF(OR(AH393="",AF393=""),"",ROUND((AH393-AF393)/1.2*0.2,2))</f>
        <v/>
      </c>
      <c r="AN393" s="39" t="str">
        <f aca="false">IF(OR(AF393="",AF393=0),"",AL393/AF393)</f>
        <v/>
      </c>
      <c r="AO393" s="37"/>
      <c r="AP393" s="37"/>
      <c r="AQ393" s="37"/>
      <c r="AR393" s="41" t="str">
        <f aca="true">IF(OR(A393="",P393=""),"",IF(AO393&lt;&gt;"",AO393-P393,TODAY()-P393))</f>
        <v/>
      </c>
      <c r="AS393" s="37"/>
    </row>
    <row r="394" customFormat="false" ht="21.75" hidden="false" customHeight="true" outlineLevel="0" collapsed="false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3" t="str">
        <f aca="false">IF(A394="","",SUM(Y394:AE394))</f>
        <v/>
      </c>
      <c r="AG394" s="43" t="str">
        <f aca="false">IF(AF394="","",ROUND(AF394*1.2/100,0)*100)</f>
        <v/>
      </c>
      <c r="AH394" s="43"/>
      <c r="AI394" s="43" t="str">
        <f aca="false">IF(AF394="","",ROUND(AF394*1.05/100,0)*100)</f>
        <v/>
      </c>
      <c r="AJ394" s="43" t="str">
        <f aca="false">IF(OR(AH394="",AF394=""),"",AH394-AF394)</f>
        <v/>
      </c>
      <c r="AK394" s="44" t="str">
        <f aca="false">IF(OR(AF394="",AF394=0),"",AJ394/AF394)</f>
        <v/>
      </c>
      <c r="AL394" s="43" t="str">
        <f aca="false">IF(AJ394="","",AJ394-AM394)</f>
        <v/>
      </c>
      <c r="AM394" s="45" t="str">
        <f aca="false">IF(OR(AH394="",AF394=""),"",ROUND((AH394-AF394)/1.2*0.2,2))</f>
        <v/>
      </c>
      <c r="AN394" s="44" t="str">
        <f aca="false">IF(OR(AF394="",AF394=0),"",AL394/AF394)</f>
        <v/>
      </c>
      <c r="AO394" s="42"/>
      <c r="AP394" s="42"/>
      <c r="AQ394" s="42"/>
      <c r="AR394" s="46" t="str">
        <f aca="true">IF(OR(A394="",P394=""),"",IF(AO394&lt;&gt;"",AO394-P394,TODAY()-P394))</f>
        <v/>
      </c>
      <c r="AS394" s="42"/>
    </row>
    <row r="395" customFormat="false" ht="21.75" hidden="false" customHeight="true" outlineLevel="0" collapsed="false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8" t="str">
        <f aca="false">IF(A395="","",SUM(Y395:AE395))</f>
        <v/>
      </c>
      <c r="AG395" s="38" t="str">
        <f aca="false">IF(AF395="","",ROUND(AF395*1.2/100,0)*100)</f>
        <v/>
      </c>
      <c r="AH395" s="38"/>
      <c r="AI395" s="38" t="str">
        <f aca="false">IF(AF395="","",ROUND(AF395*1.05/100,0)*100)</f>
        <v/>
      </c>
      <c r="AJ395" s="38" t="str">
        <f aca="false">IF(OR(AH395="",AF395=""),"",AH395-AF395)</f>
        <v/>
      </c>
      <c r="AK395" s="39" t="str">
        <f aca="false">IF(OR(AF395="",AF395=0),"",AJ395/AF395)</f>
        <v/>
      </c>
      <c r="AL395" s="38" t="str">
        <f aca="false">IF(AJ395="","",AJ395-AM395)</f>
        <v/>
      </c>
      <c r="AM395" s="40" t="str">
        <f aca="false">IF(OR(AH395="",AF395=""),"",ROUND((AH395-AF395)/1.2*0.2,2))</f>
        <v/>
      </c>
      <c r="AN395" s="39" t="str">
        <f aca="false">IF(OR(AF395="",AF395=0),"",AL395/AF395)</f>
        <v/>
      </c>
      <c r="AO395" s="37"/>
      <c r="AP395" s="37"/>
      <c r="AQ395" s="37"/>
      <c r="AR395" s="41" t="str">
        <f aca="true">IF(OR(A395="",P395=""),"",IF(AO395&lt;&gt;"",AO395-P395,TODAY()-P395))</f>
        <v/>
      </c>
      <c r="AS395" s="37"/>
    </row>
    <row r="396" customFormat="false" ht="21.75" hidden="false" customHeight="true" outlineLevel="0" collapsed="false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3" t="str">
        <f aca="false">IF(A396="","",SUM(Y396:AE396))</f>
        <v/>
      </c>
      <c r="AG396" s="43" t="str">
        <f aca="false">IF(AF396="","",ROUND(AF396*1.2/100,0)*100)</f>
        <v/>
      </c>
      <c r="AH396" s="43"/>
      <c r="AI396" s="43" t="str">
        <f aca="false">IF(AF396="","",ROUND(AF396*1.05/100,0)*100)</f>
        <v/>
      </c>
      <c r="AJ396" s="43" t="str">
        <f aca="false">IF(OR(AH396="",AF396=""),"",AH396-AF396)</f>
        <v/>
      </c>
      <c r="AK396" s="44" t="str">
        <f aca="false">IF(OR(AF396="",AF396=0),"",AJ396/AF396)</f>
        <v/>
      </c>
      <c r="AL396" s="43" t="str">
        <f aca="false">IF(AJ396="","",AJ396-AM396)</f>
        <v/>
      </c>
      <c r="AM396" s="45" t="str">
        <f aca="false">IF(OR(AH396="",AF396=""),"",ROUND((AH396-AF396)/1.2*0.2,2))</f>
        <v/>
      </c>
      <c r="AN396" s="44" t="str">
        <f aca="false">IF(OR(AF396="",AF396=0),"",AL396/AF396)</f>
        <v/>
      </c>
      <c r="AO396" s="42"/>
      <c r="AP396" s="42"/>
      <c r="AQ396" s="42"/>
      <c r="AR396" s="46" t="str">
        <f aca="true">IF(OR(A396="",P396=""),"",IF(AO396&lt;&gt;"",AO396-P396,TODAY()-P396))</f>
        <v/>
      </c>
      <c r="AS396" s="42"/>
    </row>
    <row r="397" customFormat="false" ht="21.75" hidden="false" customHeight="true" outlineLevel="0" collapsed="false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8" t="str">
        <f aca="false">IF(A397="","",SUM(Y397:AE397))</f>
        <v/>
      </c>
      <c r="AG397" s="38" t="str">
        <f aca="false">IF(AF397="","",ROUND(AF397*1.2/100,0)*100)</f>
        <v/>
      </c>
      <c r="AH397" s="38"/>
      <c r="AI397" s="38" t="str">
        <f aca="false">IF(AF397="","",ROUND(AF397*1.05/100,0)*100)</f>
        <v/>
      </c>
      <c r="AJ397" s="38" t="str">
        <f aca="false">IF(OR(AH397="",AF397=""),"",AH397-AF397)</f>
        <v/>
      </c>
      <c r="AK397" s="39" t="str">
        <f aca="false">IF(OR(AF397="",AF397=0),"",AJ397/AF397)</f>
        <v/>
      </c>
      <c r="AL397" s="38" t="str">
        <f aca="false">IF(AJ397="","",AJ397-AM397)</f>
        <v/>
      </c>
      <c r="AM397" s="40" t="str">
        <f aca="false">IF(OR(AH397="",AF397=""),"",ROUND((AH397-AF397)/1.2*0.2,2))</f>
        <v/>
      </c>
      <c r="AN397" s="39" t="str">
        <f aca="false">IF(OR(AF397="",AF397=0),"",AL397/AF397)</f>
        <v/>
      </c>
      <c r="AO397" s="37"/>
      <c r="AP397" s="37"/>
      <c r="AQ397" s="37"/>
      <c r="AR397" s="41" t="str">
        <f aca="true">IF(OR(A397="",P397=""),"",IF(AO397&lt;&gt;"",AO397-P397,TODAY()-P397))</f>
        <v/>
      </c>
      <c r="AS397" s="37"/>
    </row>
    <row r="398" customFormat="false" ht="21.75" hidden="false" customHeight="true" outlineLevel="0" collapsed="false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3" t="str">
        <f aca="false">IF(A398="","",SUM(Y398:AE398))</f>
        <v/>
      </c>
      <c r="AG398" s="43" t="str">
        <f aca="false">IF(AF398="","",ROUND(AF398*1.2/100,0)*100)</f>
        <v/>
      </c>
      <c r="AH398" s="43"/>
      <c r="AI398" s="43" t="str">
        <f aca="false">IF(AF398="","",ROUND(AF398*1.05/100,0)*100)</f>
        <v/>
      </c>
      <c r="AJ398" s="43" t="str">
        <f aca="false">IF(OR(AH398="",AF398=""),"",AH398-AF398)</f>
        <v/>
      </c>
      <c r="AK398" s="44" t="str">
        <f aca="false">IF(OR(AF398="",AF398=0),"",AJ398/AF398)</f>
        <v/>
      </c>
      <c r="AL398" s="43" t="str">
        <f aca="false">IF(AJ398="","",AJ398-AM398)</f>
        <v/>
      </c>
      <c r="AM398" s="45" t="str">
        <f aca="false">IF(OR(AH398="",AF398=""),"",ROUND((AH398-AF398)/1.2*0.2,2))</f>
        <v/>
      </c>
      <c r="AN398" s="44" t="str">
        <f aca="false">IF(OR(AF398="",AF398=0),"",AL398/AF398)</f>
        <v/>
      </c>
      <c r="AO398" s="42"/>
      <c r="AP398" s="42"/>
      <c r="AQ398" s="42"/>
      <c r="AR398" s="46" t="str">
        <f aca="true">IF(OR(A398="",P398=""),"",IF(AO398&lt;&gt;"",AO398-P398,TODAY()-P398))</f>
        <v/>
      </c>
      <c r="AS398" s="42"/>
    </row>
    <row r="399" customFormat="false" ht="21.75" hidden="false" customHeight="true" outlineLevel="0" collapsed="false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8" t="str">
        <f aca="false">IF(A399="","",SUM(Y399:AE399))</f>
        <v/>
      </c>
      <c r="AG399" s="38" t="str">
        <f aca="false">IF(AF399="","",ROUND(AF399*1.2/100,0)*100)</f>
        <v/>
      </c>
      <c r="AH399" s="38"/>
      <c r="AI399" s="38" t="str">
        <f aca="false">IF(AF399="","",ROUND(AF399*1.05/100,0)*100)</f>
        <v/>
      </c>
      <c r="AJ399" s="38" t="str">
        <f aca="false">IF(OR(AH399="",AF399=""),"",AH399-AF399)</f>
        <v/>
      </c>
      <c r="AK399" s="39" t="str">
        <f aca="false">IF(OR(AF399="",AF399=0),"",AJ399/AF399)</f>
        <v/>
      </c>
      <c r="AL399" s="38" t="str">
        <f aca="false">IF(AJ399="","",AJ399-AM399)</f>
        <v/>
      </c>
      <c r="AM399" s="40" t="str">
        <f aca="false">IF(OR(AH399="",AF399=""),"",ROUND((AH399-AF399)/1.2*0.2,2))</f>
        <v/>
      </c>
      <c r="AN399" s="39" t="str">
        <f aca="false">IF(OR(AF399="",AF399=0),"",AL399/AF399)</f>
        <v/>
      </c>
      <c r="AO399" s="37"/>
      <c r="AP399" s="37"/>
      <c r="AQ399" s="37"/>
      <c r="AR399" s="41" t="str">
        <f aca="true">IF(OR(A399="",P399=""),"",IF(AO399&lt;&gt;"",AO399-P399,TODAY()-P399))</f>
        <v/>
      </c>
      <c r="AS399" s="37"/>
    </row>
    <row r="400" customFormat="false" ht="21.75" hidden="false" customHeight="true" outlineLevel="0" collapsed="false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3" t="str">
        <f aca="false">IF(A400="","",SUM(Y400:AE400))</f>
        <v/>
      </c>
      <c r="AG400" s="43" t="str">
        <f aca="false">IF(AF400="","",ROUND(AF400*1.2/100,0)*100)</f>
        <v/>
      </c>
      <c r="AH400" s="43"/>
      <c r="AI400" s="43" t="str">
        <f aca="false">IF(AF400="","",ROUND(AF400*1.05/100,0)*100)</f>
        <v/>
      </c>
      <c r="AJ400" s="43" t="str">
        <f aca="false">IF(OR(AH400="",AF400=""),"",AH400-AF400)</f>
        <v/>
      </c>
      <c r="AK400" s="44" t="str">
        <f aca="false">IF(OR(AF400="",AF400=0),"",AJ400/AF400)</f>
        <v/>
      </c>
      <c r="AL400" s="43" t="str">
        <f aca="false">IF(AJ400="","",AJ400-AM400)</f>
        <v/>
      </c>
      <c r="AM400" s="45" t="str">
        <f aca="false">IF(OR(AH400="",AF400=""),"",ROUND((AH400-AF400)/1.2*0.2,2))</f>
        <v/>
      </c>
      <c r="AN400" s="44" t="str">
        <f aca="false">IF(OR(AF400="",AF400=0),"",AL400/AF400)</f>
        <v/>
      </c>
      <c r="AO400" s="42"/>
      <c r="AP400" s="42"/>
      <c r="AQ400" s="42"/>
      <c r="AR400" s="46" t="str">
        <f aca="true">IF(OR(A400="",P400=""),"",IF(AO400&lt;&gt;"",AO400-P400,TODAY()-P400))</f>
        <v/>
      </c>
      <c r="AS400" s="42"/>
    </row>
    <row r="401" customFormat="false" ht="21.75" hidden="false" customHeight="true" outlineLevel="0" collapsed="false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8" t="str">
        <f aca="false">IF(A401="","",SUM(Y401:AE401))</f>
        <v/>
      </c>
      <c r="AG401" s="38" t="str">
        <f aca="false">IF(AF401="","",ROUND(AF401*1.2/100,0)*100)</f>
        <v/>
      </c>
      <c r="AH401" s="38"/>
      <c r="AI401" s="38" t="str">
        <f aca="false">IF(AF401="","",ROUND(AF401*1.05/100,0)*100)</f>
        <v/>
      </c>
      <c r="AJ401" s="38" t="str">
        <f aca="false">IF(OR(AH401="",AF401=""),"",AH401-AF401)</f>
        <v/>
      </c>
      <c r="AK401" s="39" t="str">
        <f aca="false">IF(OR(AF401="",AF401=0),"",AJ401/AF401)</f>
        <v/>
      </c>
      <c r="AL401" s="38" t="str">
        <f aca="false">IF(AJ401="","",AJ401-AM401)</f>
        <v/>
      </c>
      <c r="AM401" s="40" t="str">
        <f aca="false">IF(OR(AH401="",AF401=""),"",ROUND((AH401-AF401)/1.2*0.2,2))</f>
        <v/>
      </c>
      <c r="AN401" s="39" t="str">
        <f aca="false">IF(OR(AF401="",AF401=0),"",AL401/AF401)</f>
        <v/>
      </c>
      <c r="AO401" s="37"/>
      <c r="AP401" s="37"/>
      <c r="AQ401" s="37"/>
      <c r="AR401" s="41" t="str">
        <f aca="true">IF(OR(A401="",P401=""),"",IF(AO401&lt;&gt;"",AO401-P401,TODAY()-P401))</f>
        <v/>
      </c>
      <c r="AS401" s="37"/>
    </row>
    <row r="402" customFormat="false" ht="21.75" hidden="false" customHeight="true" outlineLevel="0" collapsed="false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3" t="str">
        <f aca="false">IF(A402="","",SUM(Y402:AE402))</f>
        <v/>
      </c>
      <c r="AG402" s="43" t="str">
        <f aca="false">IF(AF402="","",ROUND(AF402*1.2/100,0)*100)</f>
        <v/>
      </c>
      <c r="AH402" s="43"/>
      <c r="AI402" s="43" t="str">
        <f aca="false">IF(AF402="","",ROUND(AF402*1.05/100,0)*100)</f>
        <v/>
      </c>
      <c r="AJ402" s="43" t="str">
        <f aca="false">IF(OR(AH402="",AF402=""),"",AH402-AF402)</f>
        <v/>
      </c>
      <c r="AK402" s="44" t="str">
        <f aca="false">IF(OR(AF402="",AF402=0),"",AJ402/AF402)</f>
        <v/>
      </c>
      <c r="AL402" s="43" t="str">
        <f aca="false">IF(AJ402="","",AJ402-AM402)</f>
        <v/>
      </c>
      <c r="AM402" s="45" t="str">
        <f aca="false">IF(OR(AH402="",AF402=""),"",ROUND((AH402-AF402)/1.2*0.2,2))</f>
        <v/>
      </c>
      <c r="AN402" s="44" t="str">
        <f aca="false">IF(OR(AF402="",AF402=0),"",AL402/AF402)</f>
        <v/>
      </c>
      <c r="AO402" s="42"/>
      <c r="AP402" s="42"/>
      <c r="AQ402" s="42"/>
      <c r="AR402" s="46" t="str">
        <f aca="true">IF(OR(A402="",P402=""),"",IF(AO402&lt;&gt;"",AO402-P402,TODAY()-P402))</f>
        <v/>
      </c>
      <c r="AS402" s="42"/>
    </row>
    <row r="403" customFormat="false" ht="21.75" hidden="false" customHeight="true" outlineLevel="0" collapsed="false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8" t="str">
        <f aca="false">IF(A403="","",SUM(Y403:AE403))</f>
        <v/>
      </c>
      <c r="AG403" s="38" t="str">
        <f aca="false">IF(AF403="","",ROUND(AF403*1.2/100,0)*100)</f>
        <v/>
      </c>
      <c r="AH403" s="38"/>
      <c r="AI403" s="38" t="str">
        <f aca="false">IF(AF403="","",ROUND(AF403*1.05/100,0)*100)</f>
        <v/>
      </c>
      <c r="AJ403" s="38" t="str">
        <f aca="false">IF(OR(AH403="",AF403=""),"",AH403-AF403)</f>
        <v/>
      </c>
      <c r="AK403" s="39" t="str">
        <f aca="false">IF(OR(AF403="",AF403=0),"",AJ403/AF403)</f>
        <v/>
      </c>
      <c r="AL403" s="38" t="str">
        <f aca="false">IF(AJ403="","",AJ403-AM403)</f>
        <v/>
      </c>
      <c r="AM403" s="40" t="str">
        <f aca="false">IF(OR(AH403="",AF403=""),"",ROUND((AH403-AF403)/1.2*0.2,2))</f>
        <v/>
      </c>
      <c r="AN403" s="39" t="str">
        <f aca="false">IF(OR(AF403="",AF403=0),"",AL403/AF403)</f>
        <v/>
      </c>
      <c r="AO403" s="37"/>
      <c r="AP403" s="37"/>
      <c r="AQ403" s="37"/>
      <c r="AR403" s="41" t="str">
        <f aca="true">IF(OR(A403="",P403=""),"",IF(AO403&lt;&gt;"",AO403-P403,TODAY()-P403))</f>
        <v/>
      </c>
      <c r="AS403" s="37"/>
    </row>
    <row r="404" customFormat="false" ht="21.75" hidden="false" customHeight="true" outlineLevel="0" collapsed="false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3" t="str">
        <f aca="false">IF(A404="","",SUM(Y404:AE404))</f>
        <v/>
      </c>
      <c r="AG404" s="43" t="str">
        <f aca="false">IF(AF404="","",ROUND(AF404*1.2/100,0)*100)</f>
        <v/>
      </c>
      <c r="AH404" s="43"/>
      <c r="AI404" s="43" t="str">
        <f aca="false">IF(AF404="","",ROUND(AF404*1.05/100,0)*100)</f>
        <v/>
      </c>
      <c r="AJ404" s="43" t="str">
        <f aca="false">IF(OR(AH404="",AF404=""),"",AH404-AF404)</f>
        <v/>
      </c>
      <c r="AK404" s="44" t="str">
        <f aca="false">IF(OR(AF404="",AF404=0),"",AJ404/AF404)</f>
        <v/>
      </c>
      <c r="AL404" s="43" t="str">
        <f aca="false">IF(AJ404="","",AJ404-AM404)</f>
        <v/>
      </c>
      <c r="AM404" s="45" t="str">
        <f aca="false">IF(OR(AH404="",AF404=""),"",ROUND((AH404-AF404)/1.2*0.2,2))</f>
        <v/>
      </c>
      <c r="AN404" s="44" t="str">
        <f aca="false">IF(OR(AF404="",AF404=0),"",AL404/AF404)</f>
        <v/>
      </c>
      <c r="AO404" s="42"/>
      <c r="AP404" s="42"/>
      <c r="AQ404" s="42"/>
      <c r="AR404" s="46" t="str">
        <f aca="true">IF(OR(A404="",P404=""),"",IF(AO404&lt;&gt;"",AO404-P404,TODAY()-P404))</f>
        <v/>
      </c>
      <c r="AS404" s="42"/>
    </row>
    <row r="405" customFormat="false" ht="21.75" hidden="false" customHeight="true" outlineLevel="0" collapsed="false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8" t="str">
        <f aca="false">IF(A405="","",SUM(Y405:AE405))</f>
        <v/>
      </c>
      <c r="AG405" s="38" t="str">
        <f aca="false">IF(AF405="","",ROUND(AF405*1.2/100,0)*100)</f>
        <v/>
      </c>
      <c r="AH405" s="38"/>
      <c r="AI405" s="38" t="str">
        <f aca="false">IF(AF405="","",ROUND(AF405*1.05/100,0)*100)</f>
        <v/>
      </c>
      <c r="AJ405" s="38" t="str">
        <f aca="false">IF(OR(AH405="",AF405=""),"",AH405-AF405)</f>
        <v/>
      </c>
      <c r="AK405" s="39" t="str">
        <f aca="false">IF(OR(AF405="",AF405=0),"",AJ405/AF405)</f>
        <v/>
      </c>
      <c r="AL405" s="38" t="str">
        <f aca="false">IF(AJ405="","",AJ405-AM405)</f>
        <v/>
      </c>
      <c r="AM405" s="40" t="str">
        <f aca="false">IF(OR(AH405="",AF405=""),"",ROUND((AH405-AF405)/1.2*0.2,2))</f>
        <v/>
      </c>
      <c r="AN405" s="39" t="str">
        <f aca="false">IF(OR(AF405="",AF405=0),"",AL405/AF405)</f>
        <v/>
      </c>
      <c r="AO405" s="37"/>
      <c r="AP405" s="37"/>
      <c r="AQ405" s="37"/>
      <c r="AR405" s="41" t="str">
        <f aca="true">IF(OR(A405="",P405=""),"",IF(AO405&lt;&gt;"",AO405-P405,TODAY()-P405))</f>
        <v/>
      </c>
      <c r="AS405" s="37"/>
    </row>
    <row r="406" customFormat="false" ht="21.75" hidden="false" customHeight="true" outlineLevel="0" collapsed="false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3" t="str">
        <f aca="false">IF(A406="","",SUM(Y406:AE406))</f>
        <v/>
      </c>
      <c r="AG406" s="43" t="str">
        <f aca="false">IF(AF406="","",ROUND(AF406*1.2/100,0)*100)</f>
        <v/>
      </c>
      <c r="AH406" s="43"/>
      <c r="AI406" s="43" t="str">
        <f aca="false">IF(AF406="","",ROUND(AF406*1.05/100,0)*100)</f>
        <v/>
      </c>
      <c r="AJ406" s="43" t="str">
        <f aca="false">IF(OR(AH406="",AF406=""),"",AH406-AF406)</f>
        <v/>
      </c>
      <c r="AK406" s="44" t="str">
        <f aca="false">IF(OR(AF406="",AF406=0),"",AJ406/AF406)</f>
        <v/>
      </c>
      <c r="AL406" s="43" t="str">
        <f aca="false">IF(AJ406="","",AJ406-AM406)</f>
        <v/>
      </c>
      <c r="AM406" s="45" t="str">
        <f aca="false">IF(OR(AH406="",AF406=""),"",ROUND((AH406-AF406)/1.2*0.2,2))</f>
        <v/>
      </c>
      <c r="AN406" s="44" t="str">
        <f aca="false">IF(OR(AF406="",AF406=0),"",AL406/AF406)</f>
        <v/>
      </c>
      <c r="AO406" s="42"/>
      <c r="AP406" s="42"/>
      <c r="AQ406" s="42"/>
      <c r="AR406" s="46" t="str">
        <f aca="true">IF(OR(A406="",P406=""),"",IF(AO406&lt;&gt;"",AO406-P406,TODAY()-P406))</f>
        <v/>
      </c>
      <c r="AS406" s="42"/>
    </row>
    <row r="407" customFormat="false" ht="21.75" hidden="false" customHeight="true" outlineLevel="0" collapsed="false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8" t="str">
        <f aca="false">IF(A407="","",SUM(Y407:AE407))</f>
        <v/>
      </c>
      <c r="AG407" s="38" t="str">
        <f aca="false">IF(AF407="","",ROUND(AF407*1.2/100,0)*100)</f>
        <v/>
      </c>
      <c r="AH407" s="38"/>
      <c r="AI407" s="38" t="str">
        <f aca="false">IF(AF407="","",ROUND(AF407*1.05/100,0)*100)</f>
        <v/>
      </c>
      <c r="AJ407" s="38" t="str">
        <f aca="false">IF(OR(AH407="",AF407=""),"",AH407-AF407)</f>
        <v/>
      </c>
      <c r="AK407" s="39" t="str">
        <f aca="false">IF(OR(AF407="",AF407=0),"",AJ407/AF407)</f>
        <v/>
      </c>
      <c r="AL407" s="38" t="str">
        <f aca="false">IF(AJ407="","",AJ407-AM407)</f>
        <v/>
      </c>
      <c r="AM407" s="40" t="str">
        <f aca="false">IF(OR(AH407="",AF407=""),"",ROUND((AH407-AF407)/1.2*0.2,2))</f>
        <v/>
      </c>
      <c r="AN407" s="39" t="str">
        <f aca="false">IF(OR(AF407="",AF407=0),"",AL407/AF407)</f>
        <v/>
      </c>
      <c r="AO407" s="37"/>
      <c r="AP407" s="37"/>
      <c r="AQ407" s="37"/>
      <c r="AR407" s="41" t="str">
        <f aca="true">IF(OR(A407="",P407=""),"",IF(AO407&lt;&gt;"",AO407-P407,TODAY()-P407))</f>
        <v/>
      </c>
      <c r="AS407" s="37"/>
    </row>
    <row r="408" customFormat="false" ht="21.75" hidden="false" customHeight="true" outlineLevel="0" collapsed="false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3" t="str">
        <f aca="false">IF(A408="","",SUM(Y408:AE408))</f>
        <v/>
      </c>
      <c r="AG408" s="43" t="str">
        <f aca="false">IF(AF408="","",ROUND(AF408*1.2/100,0)*100)</f>
        <v/>
      </c>
      <c r="AH408" s="43"/>
      <c r="AI408" s="43" t="str">
        <f aca="false">IF(AF408="","",ROUND(AF408*1.05/100,0)*100)</f>
        <v/>
      </c>
      <c r="AJ408" s="43" t="str">
        <f aca="false">IF(OR(AH408="",AF408=""),"",AH408-AF408)</f>
        <v/>
      </c>
      <c r="AK408" s="44" t="str">
        <f aca="false">IF(OR(AF408="",AF408=0),"",AJ408/AF408)</f>
        <v/>
      </c>
      <c r="AL408" s="43" t="str">
        <f aca="false">IF(AJ408="","",AJ408-AM408)</f>
        <v/>
      </c>
      <c r="AM408" s="45" t="str">
        <f aca="false">IF(OR(AH408="",AF408=""),"",ROUND((AH408-AF408)/1.2*0.2,2))</f>
        <v/>
      </c>
      <c r="AN408" s="44" t="str">
        <f aca="false">IF(OR(AF408="",AF408=0),"",AL408/AF408)</f>
        <v/>
      </c>
      <c r="AO408" s="42"/>
      <c r="AP408" s="42"/>
      <c r="AQ408" s="42"/>
      <c r="AR408" s="46" t="str">
        <f aca="true">IF(OR(A408="",P408=""),"",IF(AO408&lt;&gt;"",AO408-P408,TODAY()-P408))</f>
        <v/>
      </c>
      <c r="AS408" s="42"/>
    </row>
    <row r="409" customFormat="false" ht="21.75" hidden="false" customHeight="true" outlineLevel="0" collapsed="false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8" t="str">
        <f aca="false">IF(A409="","",SUM(Y409:AE409))</f>
        <v/>
      </c>
      <c r="AG409" s="38" t="str">
        <f aca="false">IF(AF409="","",ROUND(AF409*1.2/100,0)*100)</f>
        <v/>
      </c>
      <c r="AH409" s="38"/>
      <c r="AI409" s="38" t="str">
        <f aca="false">IF(AF409="","",ROUND(AF409*1.05/100,0)*100)</f>
        <v/>
      </c>
      <c r="AJ409" s="38" t="str">
        <f aca="false">IF(OR(AH409="",AF409=""),"",AH409-AF409)</f>
        <v/>
      </c>
      <c r="AK409" s="39" t="str">
        <f aca="false">IF(OR(AF409="",AF409=0),"",AJ409/AF409)</f>
        <v/>
      </c>
      <c r="AL409" s="38" t="str">
        <f aca="false">IF(AJ409="","",AJ409-AM409)</f>
        <v/>
      </c>
      <c r="AM409" s="40" t="str">
        <f aca="false">IF(OR(AH409="",AF409=""),"",ROUND((AH409-AF409)/1.2*0.2,2))</f>
        <v/>
      </c>
      <c r="AN409" s="39" t="str">
        <f aca="false">IF(OR(AF409="",AF409=0),"",AL409/AF409)</f>
        <v/>
      </c>
      <c r="AO409" s="37"/>
      <c r="AP409" s="37"/>
      <c r="AQ409" s="37"/>
      <c r="AR409" s="41" t="str">
        <f aca="true">IF(OR(A409="",P409=""),"",IF(AO409&lt;&gt;"",AO409-P409,TODAY()-P409))</f>
        <v/>
      </c>
      <c r="AS409" s="37"/>
    </row>
    <row r="410" customFormat="false" ht="21.75" hidden="false" customHeight="true" outlineLevel="0" collapsed="false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3" t="str">
        <f aca="false">IF(A410="","",SUM(Y410:AE410))</f>
        <v/>
      </c>
      <c r="AG410" s="43" t="str">
        <f aca="false">IF(AF410="","",ROUND(AF410*1.2/100,0)*100)</f>
        <v/>
      </c>
      <c r="AH410" s="43"/>
      <c r="AI410" s="43" t="str">
        <f aca="false">IF(AF410="","",ROUND(AF410*1.05/100,0)*100)</f>
        <v/>
      </c>
      <c r="AJ410" s="43" t="str">
        <f aca="false">IF(OR(AH410="",AF410=""),"",AH410-AF410)</f>
        <v/>
      </c>
      <c r="AK410" s="44" t="str">
        <f aca="false">IF(OR(AF410="",AF410=0),"",AJ410/AF410)</f>
        <v/>
      </c>
      <c r="AL410" s="43" t="str">
        <f aca="false">IF(AJ410="","",AJ410-AM410)</f>
        <v/>
      </c>
      <c r="AM410" s="45" t="str">
        <f aca="false">IF(OR(AH410="",AF410=""),"",ROUND((AH410-AF410)/1.2*0.2,2))</f>
        <v/>
      </c>
      <c r="AN410" s="44" t="str">
        <f aca="false">IF(OR(AF410="",AF410=0),"",AL410/AF410)</f>
        <v/>
      </c>
      <c r="AO410" s="42"/>
      <c r="AP410" s="42"/>
      <c r="AQ410" s="42"/>
      <c r="AR410" s="46" t="str">
        <f aca="true">IF(OR(A410="",P410=""),"",IF(AO410&lt;&gt;"",AO410-P410,TODAY()-P410))</f>
        <v/>
      </c>
      <c r="AS410" s="42"/>
    </row>
    <row r="411" customFormat="false" ht="21.75" hidden="false" customHeight="true" outlineLevel="0" collapsed="false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8" t="str">
        <f aca="false">IF(A411="","",SUM(Y411:AE411))</f>
        <v/>
      </c>
      <c r="AG411" s="38" t="str">
        <f aca="false">IF(AF411="","",ROUND(AF411*1.2/100,0)*100)</f>
        <v/>
      </c>
      <c r="AH411" s="38"/>
      <c r="AI411" s="38" t="str">
        <f aca="false">IF(AF411="","",ROUND(AF411*1.05/100,0)*100)</f>
        <v/>
      </c>
      <c r="AJ411" s="38" t="str">
        <f aca="false">IF(OR(AH411="",AF411=""),"",AH411-AF411)</f>
        <v/>
      </c>
      <c r="AK411" s="39" t="str">
        <f aca="false">IF(OR(AF411="",AF411=0),"",AJ411/AF411)</f>
        <v/>
      </c>
      <c r="AL411" s="38" t="str">
        <f aca="false">IF(AJ411="","",AJ411-AM411)</f>
        <v/>
      </c>
      <c r="AM411" s="40" t="str">
        <f aca="false">IF(OR(AH411="",AF411=""),"",ROUND((AH411-AF411)/1.2*0.2,2))</f>
        <v/>
      </c>
      <c r="AN411" s="39" t="str">
        <f aca="false">IF(OR(AF411="",AF411=0),"",AL411/AF411)</f>
        <v/>
      </c>
      <c r="AO411" s="37"/>
      <c r="AP411" s="37"/>
      <c r="AQ411" s="37"/>
      <c r="AR411" s="41" t="str">
        <f aca="true">IF(OR(A411="",P411=""),"",IF(AO411&lt;&gt;"",AO411-P411,TODAY()-P411))</f>
        <v/>
      </c>
      <c r="AS411" s="37"/>
    </row>
    <row r="412" customFormat="false" ht="21.75" hidden="false" customHeight="true" outlineLevel="0" collapsed="false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3" t="str">
        <f aca="false">IF(A412="","",SUM(Y412:AE412))</f>
        <v/>
      </c>
      <c r="AG412" s="43" t="str">
        <f aca="false">IF(AF412="","",ROUND(AF412*1.2/100,0)*100)</f>
        <v/>
      </c>
      <c r="AH412" s="43"/>
      <c r="AI412" s="43" t="str">
        <f aca="false">IF(AF412="","",ROUND(AF412*1.05/100,0)*100)</f>
        <v/>
      </c>
      <c r="AJ412" s="43" t="str">
        <f aca="false">IF(OR(AH412="",AF412=""),"",AH412-AF412)</f>
        <v/>
      </c>
      <c r="AK412" s="44" t="str">
        <f aca="false">IF(OR(AF412="",AF412=0),"",AJ412/AF412)</f>
        <v/>
      </c>
      <c r="AL412" s="43" t="str">
        <f aca="false">IF(AJ412="","",AJ412-AM412)</f>
        <v/>
      </c>
      <c r="AM412" s="45" t="str">
        <f aca="false">IF(OR(AH412="",AF412=""),"",ROUND((AH412-AF412)/1.2*0.2,2))</f>
        <v/>
      </c>
      <c r="AN412" s="44" t="str">
        <f aca="false">IF(OR(AF412="",AF412=0),"",AL412/AF412)</f>
        <v/>
      </c>
      <c r="AO412" s="42"/>
      <c r="AP412" s="42"/>
      <c r="AQ412" s="42"/>
      <c r="AR412" s="46" t="str">
        <f aca="true">IF(OR(A412="",P412=""),"",IF(AO412&lt;&gt;"",AO412-P412,TODAY()-P412))</f>
        <v/>
      </c>
      <c r="AS412" s="42"/>
    </row>
    <row r="413" customFormat="false" ht="21.75" hidden="false" customHeight="true" outlineLevel="0" collapsed="false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8" t="str">
        <f aca="false">IF(A413="","",SUM(Y413:AE413))</f>
        <v/>
      </c>
      <c r="AG413" s="38" t="str">
        <f aca="false">IF(AF413="","",ROUND(AF413*1.2/100,0)*100)</f>
        <v/>
      </c>
      <c r="AH413" s="38"/>
      <c r="AI413" s="38" t="str">
        <f aca="false">IF(AF413="","",ROUND(AF413*1.05/100,0)*100)</f>
        <v/>
      </c>
      <c r="AJ413" s="38" t="str">
        <f aca="false">IF(OR(AH413="",AF413=""),"",AH413-AF413)</f>
        <v/>
      </c>
      <c r="AK413" s="39" t="str">
        <f aca="false">IF(OR(AF413="",AF413=0),"",AJ413/AF413)</f>
        <v/>
      </c>
      <c r="AL413" s="38" t="str">
        <f aca="false">IF(AJ413="","",AJ413-AM413)</f>
        <v/>
      </c>
      <c r="AM413" s="40" t="str">
        <f aca="false">IF(OR(AH413="",AF413=""),"",ROUND((AH413-AF413)/1.2*0.2,2))</f>
        <v/>
      </c>
      <c r="AN413" s="39" t="str">
        <f aca="false">IF(OR(AF413="",AF413=0),"",AL413/AF413)</f>
        <v/>
      </c>
      <c r="AO413" s="37"/>
      <c r="AP413" s="37"/>
      <c r="AQ413" s="37"/>
      <c r="AR413" s="41" t="str">
        <f aca="true">IF(OR(A413="",P413=""),"",IF(AO413&lt;&gt;"",AO413-P413,TODAY()-P413))</f>
        <v/>
      </c>
      <c r="AS413" s="37"/>
    </row>
    <row r="414" customFormat="false" ht="21.75" hidden="false" customHeight="true" outlineLevel="0" collapsed="false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3" t="str">
        <f aca="false">IF(A414="","",SUM(Y414:AE414))</f>
        <v/>
      </c>
      <c r="AG414" s="43" t="str">
        <f aca="false">IF(AF414="","",ROUND(AF414*1.2/100,0)*100)</f>
        <v/>
      </c>
      <c r="AH414" s="43"/>
      <c r="AI414" s="43" t="str">
        <f aca="false">IF(AF414="","",ROUND(AF414*1.05/100,0)*100)</f>
        <v/>
      </c>
      <c r="AJ414" s="43" t="str">
        <f aca="false">IF(OR(AH414="",AF414=""),"",AH414-AF414)</f>
        <v/>
      </c>
      <c r="AK414" s="44" t="str">
        <f aca="false">IF(OR(AF414="",AF414=0),"",AJ414/AF414)</f>
        <v/>
      </c>
      <c r="AL414" s="43" t="str">
        <f aca="false">IF(AJ414="","",AJ414-AM414)</f>
        <v/>
      </c>
      <c r="AM414" s="45" t="str">
        <f aca="false">IF(OR(AH414="",AF414=""),"",ROUND((AH414-AF414)/1.2*0.2,2))</f>
        <v/>
      </c>
      <c r="AN414" s="44" t="str">
        <f aca="false">IF(OR(AF414="",AF414=0),"",AL414/AF414)</f>
        <v/>
      </c>
      <c r="AO414" s="42"/>
      <c r="AP414" s="42"/>
      <c r="AQ414" s="42"/>
      <c r="AR414" s="46" t="str">
        <f aca="true">IF(OR(A414="",P414=""),"",IF(AO414&lt;&gt;"",AO414-P414,TODAY()-P414))</f>
        <v/>
      </c>
      <c r="AS414" s="42"/>
    </row>
    <row r="415" customFormat="false" ht="21.75" hidden="false" customHeight="true" outlineLevel="0" collapsed="false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8" t="str">
        <f aca="false">IF(A415="","",SUM(Y415:AE415))</f>
        <v/>
      </c>
      <c r="AG415" s="38" t="str">
        <f aca="false">IF(AF415="","",ROUND(AF415*1.2/100,0)*100)</f>
        <v/>
      </c>
      <c r="AH415" s="38"/>
      <c r="AI415" s="38" t="str">
        <f aca="false">IF(AF415="","",ROUND(AF415*1.05/100,0)*100)</f>
        <v/>
      </c>
      <c r="AJ415" s="38" t="str">
        <f aca="false">IF(OR(AH415="",AF415=""),"",AH415-AF415)</f>
        <v/>
      </c>
      <c r="AK415" s="39" t="str">
        <f aca="false">IF(OR(AF415="",AF415=0),"",AJ415/AF415)</f>
        <v/>
      </c>
      <c r="AL415" s="38" t="str">
        <f aca="false">IF(AJ415="","",AJ415-AM415)</f>
        <v/>
      </c>
      <c r="AM415" s="40" t="str">
        <f aca="false">IF(OR(AH415="",AF415=""),"",ROUND((AH415-AF415)/1.2*0.2,2))</f>
        <v/>
      </c>
      <c r="AN415" s="39" t="str">
        <f aca="false">IF(OR(AF415="",AF415=0),"",AL415/AF415)</f>
        <v/>
      </c>
      <c r="AO415" s="37"/>
      <c r="AP415" s="37"/>
      <c r="AQ415" s="37"/>
      <c r="AR415" s="41" t="str">
        <f aca="true">IF(OR(A415="",P415=""),"",IF(AO415&lt;&gt;"",AO415-P415,TODAY()-P415))</f>
        <v/>
      </c>
      <c r="AS415" s="37"/>
    </row>
    <row r="416" customFormat="false" ht="21.75" hidden="false" customHeight="true" outlineLevel="0" collapsed="false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3" t="str">
        <f aca="false">IF(A416="","",SUM(Y416:AE416))</f>
        <v/>
      </c>
      <c r="AG416" s="43" t="str">
        <f aca="false">IF(AF416="","",ROUND(AF416*1.2/100,0)*100)</f>
        <v/>
      </c>
      <c r="AH416" s="43"/>
      <c r="AI416" s="43" t="str">
        <f aca="false">IF(AF416="","",ROUND(AF416*1.05/100,0)*100)</f>
        <v/>
      </c>
      <c r="AJ416" s="43" t="str">
        <f aca="false">IF(OR(AH416="",AF416=""),"",AH416-AF416)</f>
        <v/>
      </c>
      <c r="AK416" s="44" t="str">
        <f aca="false">IF(OR(AF416="",AF416=0),"",AJ416/AF416)</f>
        <v/>
      </c>
      <c r="AL416" s="43" t="str">
        <f aca="false">IF(AJ416="","",AJ416-AM416)</f>
        <v/>
      </c>
      <c r="AM416" s="45" t="str">
        <f aca="false">IF(OR(AH416="",AF416=""),"",ROUND((AH416-AF416)/1.2*0.2,2))</f>
        <v/>
      </c>
      <c r="AN416" s="44" t="str">
        <f aca="false">IF(OR(AF416="",AF416=0),"",AL416/AF416)</f>
        <v/>
      </c>
      <c r="AO416" s="42"/>
      <c r="AP416" s="42"/>
      <c r="AQ416" s="42"/>
      <c r="AR416" s="46" t="str">
        <f aca="true">IF(OR(A416="",P416=""),"",IF(AO416&lt;&gt;"",AO416-P416,TODAY()-P416))</f>
        <v/>
      </c>
      <c r="AS416" s="42"/>
    </row>
    <row r="417" customFormat="false" ht="21.75" hidden="false" customHeight="true" outlineLevel="0" collapsed="false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8" t="str">
        <f aca="false">IF(A417="","",SUM(Y417:AE417))</f>
        <v/>
      </c>
      <c r="AG417" s="38" t="str">
        <f aca="false">IF(AF417="","",ROUND(AF417*1.2/100,0)*100)</f>
        <v/>
      </c>
      <c r="AH417" s="38"/>
      <c r="AI417" s="38" t="str">
        <f aca="false">IF(AF417="","",ROUND(AF417*1.05/100,0)*100)</f>
        <v/>
      </c>
      <c r="AJ417" s="38" t="str">
        <f aca="false">IF(OR(AH417="",AF417=""),"",AH417-AF417)</f>
        <v/>
      </c>
      <c r="AK417" s="39" t="str">
        <f aca="false">IF(OR(AF417="",AF417=0),"",AJ417/AF417)</f>
        <v/>
      </c>
      <c r="AL417" s="38" t="str">
        <f aca="false">IF(AJ417="","",AJ417-AM417)</f>
        <v/>
      </c>
      <c r="AM417" s="40" t="str">
        <f aca="false">IF(OR(AH417="",AF417=""),"",ROUND((AH417-AF417)/1.2*0.2,2))</f>
        <v/>
      </c>
      <c r="AN417" s="39" t="str">
        <f aca="false">IF(OR(AF417="",AF417=0),"",AL417/AF417)</f>
        <v/>
      </c>
      <c r="AO417" s="37"/>
      <c r="AP417" s="37"/>
      <c r="AQ417" s="37"/>
      <c r="AR417" s="41" t="str">
        <f aca="true">IF(OR(A417="",P417=""),"",IF(AO417&lt;&gt;"",AO417-P417,TODAY()-P417))</f>
        <v/>
      </c>
      <c r="AS417" s="37"/>
    </row>
    <row r="418" customFormat="false" ht="21.75" hidden="false" customHeight="true" outlineLevel="0" collapsed="false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3" t="str">
        <f aca="false">IF(A418="","",SUM(Y418:AE418))</f>
        <v/>
      </c>
      <c r="AG418" s="43" t="str">
        <f aca="false">IF(AF418="","",ROUND(AF418*1.2/100,0)*100)</f>
        <v/>
      </c>
      <c r="AH418" s="43"/>
      <c r="AI418" s="43" t="str">
        <f aca="false">IF(AF418="","",ROUND(AF418*1.05/100,0)*100)</f>
        <v/>
      </c>
      <c r="AJ418" s="43" t="str">
        <f aca="false">IF(OR(AH418="",AF418=""),"",AH418-AF418)</f>
        <v/>
      </c>
      <c r="AK418" s="44" t="str">
        <f aca="false">IF(OR(AF418="",AF418=0),"",AJ418/AF418)</f>
        <v/>
      </c>
      <c r="AL418" s="43" t="str">
        <f aca="false">IF(AJ418="","",AJ418-AM418)</f>
        <v/>
      </c>
      <c r="AM418" s="45" t="str">
        <f aca="false">IF(OR(AH418="",AF418=""),"",ROUND((AH418-AF418)/1.2*0.2,2))</f>
        <v/>
      </c>
      <c r="AN418" s="44" t="str">
        <f aca="false">IF(OR(AF418="",AF418=0),"",AL418/AF418)</f>
        <v/>
      </c>
      <c r="AO418" s="42"/>
      <c r="AP418" s="42"/>
      <c r="AQ418" s="42"/>
      <c r="AR418" s="46" t="str">
        <f aca="true">IF(OR(A418="",P418=""),"",IF(AO418&lt;&gt;"",AO418-P418,TODAY()-P418))</f>
        <v/>
      </c>
      <c r="AS418" s="42"/>
    </row>
    <row r="419" customFormat="false" ht="21.75" hidden="false" customHeight="true" outlineLevel="0" collapsed="false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8" t="str">
        <f aca="false">IF(A419="","",SUM(Y419:AE419))</f>
        <v/>
      </c>
      <c r="AG419" s="38" t="str">
        <f aca="false">IF(AF419="","",ROUND(AF419*1.2/100,0)*100)</f>
        <v/>
      </c>
      <c r="AH419" s="38"/>
      <c r="AI419" s="38" t="str">
        <f aca="false">IF(AF419="","",ROUND(AF419*1.05/100,0)*100)</f>
        <v/>
      </c>
      <c r="AJ419" s="38" t="str">
        <f aca="false">IF(OR(AH419="",AF419=""),"",AH419-AF419)</f>
        <v/>
      </c>
      <c r="AK419" s="39" t="str">
        <f aca="false">IF(OR(AF419="",AF419=0),"",AJ419/AF419)</f>
        <v/>
      </c>
      <c r="AL419" s="38" t="str">
        <f aca="false">IF(AJ419="","",AJ419-AM419)</f>
        <v/>
      </c>
      <c r="AM419" s="40" t="str">
        <f aca="false">IF(OR(AH419="",AF419=""),"",ROUND((AH419-AF419)/1.2*0.2,2))</f>
        <v/>
      </c>
      <c r="AN419" s="39" t="str">
        <f aca="false">IF(OR(AF419="",AF419=0),"",AL419/AF419)</f>
        <v/>
      </c>
      <c r="AO419" s="37"/>
      <c r="AP419" s="37"/>
      <c r="AQ419" s="37"/>
      <c r="AR419" s="41" t="str">
        <f aca="true">IF(OR(A419="",P419=""),"",IF(AO419&lt;&gt;"",AO419-P419,TODAY()-P419))</f>
        <v/>
      </c>
      <c r="AS419" s="37"/>
    </row>
    <row r="420" customFormat="false" ht="21.75" hidden="false" customHeight="true" outlineLevel="0" collapsed="false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3" t="str">
        <f aca="false">IF(A420="","",SUM(Y420:AE420))</f>
        <v/>
      </c>
      <c r="AG420" s="43" t="str">
        <f aca="false">IF(AF420="","",ROUND(AF420*1.2/100,0)*100)</f>
        <v/>
      </c>
      <c r="AH420" s="43"/>
      <c r="AI420" s="43" t="str">
        <f aca="false">IF(AF420="","",ROUND(AF420*1.05/100,0)*100)</f>
        <v/>
      </c>
      <c r="AJ420" s="43" t="str">
        <f aca="false">IF(OR(AH420="",AF420=""),"",AH420-AF420)</f>
        <v/>
      </c>
      <c r="AK420" s="44" t="str">
        <f aca="false">IF(OR(AF420="",AF420=0),"",AJ420/AF420)</f>
        <v/>
      </c>
      <c r="AL420" s="43" t="str">
        <f aca="false">IF(AJ420="","",AJ420-AM420)</f>
        <v/>
      </c>
      <c r="AM420" s="45" t="str">
        <f aca="false">IF(OR(AH420="",AF420=""),"",ROUND((AH420-AF420)/1.2*0.2,2))</f>
        <v/>
      </c>
      <c r="AN420" s="44" t="str">
        <f aca="false">IF(OR(AF420="",AF420=0),"",AL420/AF420)</f>
        <v/>
      </c>
      <c r="AO420" s="42"/>
      <c r="AP420" s="42"/>
      <c r="AQ420" s="42"/>
      <c r="AR420" s="46" t="str">
        <f aca="true">IF(OR(A420="",P420=""),"",IF(AO420&lt;&gt;"",AO420-P420,TODAY()-P420))</f>
        <v/>
      </c>
      <c r="AS420" s="42"/>
    </row>
    <row r="421" customFormat="false" ht="21.75" hidden="false" customHeight="true" outlineLevel="0" collapsed="false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8" t="str">
        <f aca="false">IF(A421="","",SUM(Y421:AE421))</f>
        <v/>
      </c>
      <c r="AG421" s="38" t="str">
        <f aca="false">IF(AF421="","",ROUND(AF421*1.2/100,0)*100)</f>
        <v/>
      </c>
      <c r="AH421" s="38"/>
      <c r="AI421" s="38" t="str">
        <f aca="false">IF(AF421="","",ROUND(AF421*1.05/100,0)*100)</f>
        <v/>
      </c>
      <c r="AJ421" s="38" t="str">
        <f aca="false">IF(OR(AH421="",AF421=""),"",AH421-AF421)</f>
        <v/>
      </c>
      <c r="AK421" s="39" t="str">
        <f aca="false">IF(OR(AF421="",AF421=0),"",AJ421/AF421)</f>
        <v/>
      </c>
      <c r="AL421" s="38" t="str">
        <f aca="false">IF(AJ421="","",AJ421-AM421)</f>
        <v/>
      </c>
      <c r="AM421" s="40" t="str">
        <f aca="false">IF(OR(AH421="",AF421=""),"",ROUND((AH421-AF421)/1.2*0.2,2))</f>
        <v/>
      </c>
      <c r="AN421" s="39" t="str">
        <f aca="false">IF(OR(AF421="",AF421=0),"",AL421/AF421)</f>
        <v/>
      </c>
      <c r="AO421" s="37"/>
      <c r="AP421" s="37"/>
      <c r="AQ421" s="37"/>
      <c r="AR421" s="41" t="str">
        <f aca="true">IF(OR(A421="",P421=""),"",IF(AO421&lt;&gt;"",AO421-P421,TODAY()-P421))</f>
        <v/>
      </c>
      <c r="AS421" s="37"/>
    </row>
    <row r="422" customFormat="false" ht="21.75" hidden="false" customHeight="true" outlineLevel="0" collapsed="false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3" t="str">
        <f aca="false">IF(A422="","",SUM(Y422:AE422))</f>
        <v/>
      </c>
      <c r="AG422" s="43" t="str">
        <f aca="false">IF(AF422="","",ROUND(AF422*1.2/100,0)*100)</f>
        <v/>
      </c>
      <c r="AH422" s="43"/>
      <c r="AI422" s="43" t="str">
        <f aca="false">IF(AF422="","",ROUND(AF422*1.05/100,0)*100)</f>
        <v/>
      </c>
      <c r="AJ422" s="43" t="str">
        <f aca="false">IF(OR(AH422="",AF422=""),"",AH422-AF422)</f>
        <v/>
      </c>
      <c r="AK422" s="44" t="str">
        <f aca="false">IF(OR(AF422="",AF422=0),"",AJ422/AF422)</f>
        <v/>
      </c>
      <c r="AL422" s="43" t="str">
        <f aca="false">IF(AJ422="","",AJ422-AM422)</f>
        <v/>
      </c>
      <c r="AM422" s="45" t="str">
        <f aca="false">IF(OR(AH422="",AF422=""),"",ROUND((AH422-AF422)/1.2*0.2,2))</f>
        <v/>
      </c>
      <c r="AN422" s="44" t="str">
        <f aca="false">IF(OR(AF422="",AF422=0),"",AL422/AF422)</f>
        <v/>
      </c>
      <c r="AO422" s="42"/>
      <c r="AP422" s="42"/>
      <c r="AQ422" s="42"/>
      <c r="AR422" s="46" t="str">
        <f aca="true">IF(OR(A422="",P422=""),"",IF(AO422&lt;&gt;"",AO422-P422,TODAY()-P422))</f>
        <v/>
      </c>
      <c r="AS422" s="42"/>
    </row>
    <row r="423" customFormat="false" ht="21.75" hidden="false" customHeight="true" outlineLevel="0" collapsed="false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8" t="str">
        <f aca="false">IF(A423="","",SUM(Y423:AE423))</f>
        <v/>
      </c>
      <c r="AG423" s="38" t="str">
        <f aca="false">IF(AF423="","",ROUND(AF423*1.2/100,0)*100)</f>
        <v/>
      </c>
      <c r="AH423" s="38"/>
      <c r="AI423" s="38" t="str">
        <f aca="false">IF(AF423="","",ROUND(AF423*1.05/100,0)*100)</f>
        <v/>
      </c>
      <c r="AJ423" s="38" t="str">
        <f aca="false">IF(OR(AH423="",AF423=""),"",AH423-AF423)</f>
        <v/>
      </c>
      <c r="AK423" s="39" t="str">
        <f aca="false">IF(OR(AF423="",AF423=0),"",AJ423/AF423)</f>
        <v/>
      </c>
      <c r="AL423" s="38" t="str">
        <f aca="false">IF(AJ423="","",AJ423-AM423)</f>
        <v/>
      </c>
      <c r="AM423" s="40" t="str">
        <f aca="false">IF(OR(AH423="",AF423=""),"",ROUND((AH423-AF423)/1.2*0.2,2))</f>
        <v/>
      </c>
      <c r="AN423" s="39" t="str">
        <f aca="false">IF(OR(AF423="",AF423=0),"",AL423/AF423)</f>
        <v/>
      </c>
      <c r="AO423" s="37"/>
      <c r="AP423" s="37"/>
      <c r="AQ423" s="37"/>
      <c r="AR423" s="41" t="str">
        <f aca="true">IF(OR(A423="",P423=""),"",IF(AO423&lt;&gt;"",AO423-P423,TODAY()-P423))</f>
        <v/>
      </c>
      <c r="AS423" s="37"/>
    </row>
    <row r="424" customFormat="false" ht="21.75" hidden="false" customHeight="true" outlineLevel="0" collapsed="false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3" t="str">
        <f aca="false">IF(A424="","",SUM(Y424:AE424))</f>
        <v/>
      </c>
      <c r="AG424" s="43" t="str">
        <f aca="false">IF(AF424="","",ROUND(AF424*1.2/100,0)*100)</f>
        <v/>
      </c>
      <c r="AH424" s="43"/>
      <c r="AI424" s="43" t="str">
        <f aca="false">IF(AF424="","",ROUND(AF424*1.05/100,0)*100)</f>
        <v/>
      </c>
      <c r="AJ424" s="43" t="str">
        <f aca="false">IF(OR(AH424="",AF424=""),"",AH424-AF424)</f>
        <v/>
      </c>
      <c r="AK424" s="44" t="str">
        <f aca="false">IF(OR(AF424="",AF424=0),"",AJ424/AF424)</f>
        <v/>
      </c>
      <c r="AL424" s="43" t="str">
        <f aca="false">IF(AJ424="","",AJ424-AM424)</f>
        <v/>
      </c>
      <c r="AM424" s="45" t="str">
        <f aca="false">IF(OR(AH424="",AF424=""),"",ROUND((AH424-AF424)/1.2*0.2,2))</f>
        <v/>
      </c>
      <c r="AN424" s="44" t="str">
        <f aca="false">IF(OR(AF424="",AF424=0),"",AL424/AF424)</f>
        <v/>
      </c>
      <c r="AO424" s="42"/>
      <c r="AP424" s="42"/>
      <c r="AQ424" s="42"/>
      <c r="AR424" s="46" t="str">
        <f aca="true">IF(OR(A424="",P424=""),"",IF(AO424&lt;&gt;"",AO424-P424,TODAY()-P424))</f>
        <v/>
      </c>
      <c r="AS424" s="42"/>
    </row>
    <row r="425" customFormat="false" ht="21.75" hidden="false" customHeight="true" outlineLevel="0" collapsed="false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8" t="str">
        <f aca="false">IF(A425="","",SUM(Y425:AE425))</f>
        <v/>
      </c>
      <c r="AG425" s="38" t="str">
        <f aca="false">IF(AF425="","",ROUND(AF425*1.2/100,0)*100)</f>
        <v/>
      </c>
      <c r="AH425" s="38"/>
      <c r="AI425" s="38" t="str">
        <f aca="false">IF(AF425="","",ROUND(AF425*1.05/100,0)*100)</f>
        <v/>
      </c>
      <c r="AJ425" s="38" t="str">
        <f aca="false">IF(OR(AH425="",AF425=""),"",AH425-AF425)</f>
        <v/>
      </c>
      <c r="AK425" s="39" t="str">
        <f aca="false">IF(OR(AF425="",AF425=0),"",AJ425/AF425)</f>
        <v/>
      </c>
      <c r="AL425" s="38" t="str">
        <f aca="false">IF(AJ425="","",AJ425-AM425)</f>
        <v/>
      </c>
      <c r="AM425" s="40" t="str">
        <f aca="false">IF(OR(AH425="",AF425=""),"",ROUND((AH425-AF425)/1.2*0.2,2))</f>
        <v/>
      </c>
      <c r="AN425" s="39" t="str">
        <f aca="false">IF(OR(AF425="",AF425=0),"",AL425/AF425)</f>
        <v/>
      </c>
      <c r="AO425" s="37"/>
      <c r="AP425" s="37"/>
      <c r="AQ425" s="37"/>
      <c r="AR425" s="41" t="str">
        <f aca="true">IF(OR(A425="",P425=""),"",IF(AO425&lt;&gt;"",AO425-P425,TODAY()-P425))</f>
        <v/>
      </c>
      <c r="AS425" s="37"/>
    </row>
    <row r="426" customFormat="false" ht="21.75" hidden="false" customHeight="true" outlineLevel="0" collapsed="false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3" t="str">
        <f aca="false">IF(A426="","",SUM(Y426:AE426))</f>
        <v/>
      </c>
      <c r="AG426" s="43" t="str">
        <f aca="false">IF(AF426="","",ROUND(AF426*1.2/100,0)*100)</f>
        <v/>
      </c>
      <c r="AH426" s="43"/>
      <c r="AI426" s="43" t="str">
        <f aca="false">IF(AF426="","",ROUND(AF426*1.05/100,0)*100)</f>
        <v/>
      </c>
      <c r="AJ426" s="43" t="str">
        <f aca="false">IF(OR(AH426="",AF426=""),"",AH426-AF426)</f>
        <v/>
      </c>
      <c r="AK426" s="44" t="str">
        <f aca="false">IF(OR(AF426="",AF426=0),"",AJ426/AF426)</f>
        <v/>
      </c>
      <c r="AL426" s="43" t="str">
        <f aca="false">IF(AJ426="","",AJ426-AM426)</f>
        <v/>
      </c>
      <c r="AM426" s="45" t="str">
        <f aca="false">IF(OR(AH426="",AF426=""),"",ROUND((AH426-AF426)/1.2*0.2,2))</f>
        <v/>
      </c>
      <c r="AN426" s="44" t="str">
        <f aca="false">IF(OR(AF426="",AF426=0),"",AL426/AF426)</f>
        <v/>
      </c>
      <c r="AO426" s="42"/>
      <c r="AP426" s="42"/>
      <c r="AQ426" s="42"/>
      <c r="AR426" s="46" t="str">
        <f aca="true">IF(OR(A426="",P426=""),"",IF(AO426&lt;&gt;"",AO426-P426,TODAY()-P426))</f>
        <v/>
      </c>
      <c r="AS426" s="42"/>
    </row>
    <row r="427" customFormat="false" ht="21.75" hidden="false" customHeight="true" outlineLevel="0" collapsed="false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8" t="str">
        <f aca="false">IF(A427="","",SUM(Y427:AE427))</f>
        <v/>
      </c>
      <c r="AG427" s="38" t="str">
        <f aca="false">IF(AF427="","",ROUND(AF427*1.2/100,0)*100)</f>
        <v/>
      </c>
      <c r="AH427" s="38"/>
      <c r="AI427" s="38" t="str">
        <f aca="false">IF(AF427="","",ROUND(AF427*1.05/100,0)*100)</f>
        <v/>
      </c>
      <c r="AJ427" s="38" t="str">
        <f aca="false">IF(OR(AH427="",AF427=""),"",AH427-AF427)</f>
        <v/>
      </c>
      <c r="AK427" s="39" t="str">
        <f aca="false">IF(OR(AF427="",AF427=0),"",AJ427/AF427)</f>
        <v/>
      </c>
      <c r="AL427" s="38" t="str">
        <f aca="false">IF(AJ427="","",AJ427-AM427)</f>
        <v/>
      </c>
      <c r="AM427" s="40" t="str">
        <f aca="false">IF(OR(AH427="",AF427=""),"",ROUND((AH427-AF427)/1.2*0.2,2))</f>
        <v/>
      </c>
      <c r="AN427" s="39" t="str">
        <f aca="false">IF(OR(AF427="",AF427=0),"",AL427/AF427)</f>
        <v/>
      </c>
      <c r="AO427" s="37"/>
      <c r="AP427" s="37"/>
      <c r="AQ427" s="37"/>
      <c r="AR427" s="41" t="str">
        <f aca="true">IF(OR(A427="",P427=""),"",IF(AO427&lt;&gt;"",AO427-P427,TODAY()-P427))</f>
        <v/>
      </c>
      <c r="AS427" s="37"/>
    </row>
    <row r="428" customFormat="false" ht="21.75" hidden="false" customHeight="true" outlineLevel="0" collapsed="false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3" t="str">
        <f aca="false">IF(A428="","",SUM(Y428:AE428))</f>
        <v/>
      </c>
      <c r="AG428" s="43" t="str">
        <f aca="false">IF(AF428="","",ROUND(AF428*1.2/100,0)*100)</f>
        <v/>
      </c>
      <c r="AH428" s="43"/>
      <c r="AI428" s="43" t="str">
        <f aca="false">IF(AF428="","",ROUND(AF428*1.05/100,0)*100)</f>
        <v/>
      </c>
      <c r="AJ428" s="43" t="str">
        <f aca="false">IF(OR(AH428="",AF428=""),"",AH428-AF428)</f>
        <v/>
      </c>
      <c r="AK428" s="44" t="str">
        <f aca="false">IF(OR(AF428="",AF428=0),"",AJ428/AF428)</f>
        <v/>
      </c>
      <c r="AL428" s="43" t="str">
        <f aca="false">IF(AJ428="","",AJ428-AM428)</f>
        <v/>
      </c>
      <c r="AM428" s="45" t="str">
        <f aca="false">IF(OR(AH428="",AF428=""),"",ROUND((AH428-AF428)/1.2*0.2,2))</f>
        <v/>
      </c>
      <c r="AN428" s="44" t="str">
        <f aca="false">IF(OR(AF428="",AF428=0),"",AL428/AF428)</f>
        <v/>
      </c>
      <c r="AO428" s="42"/>
      <c r="AP428" s="42"/>
      <c r="AQ428" s="42"/>
      <c r="AR428" s="46" t="str">
        <f aca="true">IF(OR(A428="",P428=""),"",IF(AO428&lt;&gt;"",AO428-P428,TODAY()-P428))</f>
        <v/>
      </c>
      <c r="AS428" s="42"/>
    </row>
    <row r="429" customFormat="false" ht="21.75" hidden="false" customHeight="true" outlineLevel="0" collapsed="false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8" t="str">
        <f aca="false">IF(A429="","",SUM(Y429:AE429))</f>
        <v/>
      </c>
      <c r="AG429" s="38" t="str">
        <f aca="false">IF(AF429="","",ROUND(AF429*1.2/100,0)*100)</f>
        <v/>
      </c>
      <c r="AH429" s="38"/>
      <c r="AI429" s="38" t="str">
        <f aca="false">IF(AF429="","",ROUND(AF429*1.05/100,0)*100)</f>
        <v/>
      </c>
      <c r="AJ429" s="38" t="str">
        <f aca="false">IF(OR(AH429="",AF429=""),"",AH429-AF429)</f>
        <v/>
      </c>
      <c r="AK429" s="39" t="str">
        <f aca="false">IF(OR(AF429="",AF429=0),"",AJ429/AF429)</f>
        <v/>
      </c>
      <c r="AL429" s="38" t="str">
        <f aca="false">IF(AJ429="","",AJ429-AM429)</f>
        <v/>
      </c>
      <c r="AM429" s="40" t="str">
        <f aca="false">IF(OR(AH429="",AF429=""),"",ROUND((AH429-AF429)/1.2*0.2,2))</f>
        <v/>
      </c>
      <c r="AN429" s="39" t="str">
        <f aca="false">IF(OR(AF429="",AF429=0),"",AL429/AF429)</f>
        <v/>
      </c>
      <c r="AO429" s="37"/>
      <c r="AP429" s="37"/>
      <c r="AQ429" s="37"/>
      <c r="AR429" s="41" t="str">
        <f aca="true">IF(OR(A429="",P429=""),"",IF(AO429&lt;&gt;"",AO429-P429,TODAY()-P429))</f>
        <v/>
      </c>
      <c r="AS429" s="37"/>
    </row>
    <row r="430" customFormat="false" ht="21.75" hidden="false" customHeight="true" outlineLevel="0" collapsed="false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3" t="str">
        <f aca="false">IF(A430="","",SUM(Y430:AE430))</f>
        <v/>
      </c>
      <c r="AG430" s="43" t="str">
        <f aca="false">IF(AF430="","",ROUND(AF430*1.2/100,0)*100)</f>
        <v/>
      </c>
      <c r="AH430" s="43"/>
      <c r="AI430" s="43" t="str">
        <f aca="false">IF(AF430="","",ROUND(AF430*1.05/100,0)*100)</f>
        <v/>
      </c>
      <c r="AJ430" s="43" t="str">
        <f aca="false">IF(OR(AH430="",AF430=""),"",AH430-AF430)</f>
        <v/>
      </c>
      <c r="AK430" s="44" t="str">
        <f aca="false">IF(OR(AF430="",AF430=0),"",AJ430/AF430)</f>
        <v/>
      </c>
      <c r="AL430" s="43" t="str">
        <f aca="false">IF(AJ430="","",AJ430-AM430)</f>
        <v/>
      </c>
      <c r="AM430" s="45" t="str">
        <f aca="false">IF(OR(AH430="",AF430=""),"",ROUND((AH430-AF430)/1.2*0.2,2))</f>
        <v/>
      </c>
      <c r="AN430" s="44" t="str">
        <f aca="false">IF(OR(AF430="",AF430=0),"",AL430/AF430)</f>
        <v/>
      </c>
      <c r="AO430" s="42"/>
      <c r="AP430" s="42"/>
      <c r="AQ430" s="42"/>
      <c r="AR430" s="46" t="str">
        <f aca="true">IF(OR(A430="",P430=""),"",IF(AO430&lt;&gt;"",AO430-P430,TODAY()-P430))</f>
        <v/>
      </c>
      <c r="AS430" s="42"/>
    </row>
    <row r="431" customFormat="false" ht="21.75" hidden="false" customHeight="true" outlineLevel="0" collapsed="false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8" t="str">
        <f aca="false">IF(A431="","",SUM(Y431:AE431))</f>
        <v/>
      </c>
      <c r="AG431" s="38" t="str">
        <f aca="false">IF(AF431="","",ROUND(AF431*1.2/100,0)*100)</f>
        <v/>
      </c>
      <c r="AH431" s="38"/>
      <c r="AI431" s="38" t="str">
        <f aca="false">IF(AF431="","",ROUND(AF431*1.05/100,0)*100)</f>
        <v/>
      </c>
      <c r="AJ431" s="38" t="str">
        <f aca="false">IF(OR(AH431="",AF431=""),"",AH431-AF431)</f>
        <v/>
      </c>
      <c r="AK431" s="39" t="str">
        <f aca="false">IF(OR(AF431="",AF431=0),"",AJ431/AF431)</f>
        <v/>
      </c>
      <c r="AL431" s="38" t="str">
        <f aca="false">IF(AJ431="","",AJ431-AM431)</f>
        <v/>
      </c>
      <c r="AM431" s="40" t="str">
        <f aca="false">IF(OR(AH431="",AF431=""),"",ROUND((AH431-AF431)/1.2*0.2,2))</f>
        <v/>
      </c>
      <c r="AN431" s="39" t="str">
        <f aca="false">IF(OR(AF431="",AF431=0),"",AL431/AF431)</f>
        <v/>
      </c>
      <c r="AO431" s="37"/>
      <c r="AP431" s="37"/>
      <c r="AQ431" s="37"/>
      <c r="AR431" s="41" t="str">
        <f aca="true">IF(OR(A431="",P431=""),"",IF(AO431&lt;&gt;"",AO431-P431,TODAY()-P431))</f>
        <v/>
      </c>
      <c r="AS431" s="37"/>
    </row>
    <row r="432" customFormat="false" ht="21.75" hidden="false" customHeight="true" outlineLevel="0" collapsed="false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3" t="str">
        <f aca="false">IF(A432="","",SUM(Y432:AE432))</f>
        <v/>
      </c>
      <c r="AG432" s="43" t="str">
        <f aca="false">IF(AF432="","",ROUND(AF432*1.2/100,0)*100)</f>
        <v/>
      </c>
      <c r="AH432" s="43"/>
      <c r="AI432" s="43" t="str">
        <f aca="false">IF(AF432="","",ROUND(AF432*1.05/100,0)*100)</f>
        <v/>
      </c>
      <c r="AJ432" s="43" t="str">
        <f aca="false">IF(OR(AH432="",AF432=""),"",AH432-AF432)</f>
        <v/>
      </c>
      <c r="AK432" s="44" t="str">
        <f aca="false">IF(OR(AF432="",AF432=0),"",AJ432/AF432)</f>
        <v/>
      </c>
      <c r="AL432" s="43" t="str">
        <f aca="false">IF(AJ432="","",AJ432-AM432)</f>
        <v/>
      </c>
      <c r="AM432" s="45" t="str">
        <f aca="false">IF(OR(AH432="",AF432=""),"",ROUND((AH432-AF432)/1.2*0.2,2))</f>
        <v/>
      </c>
      <c r="AN432" s="44" t="str">
        <f aca="false">IF(OR(AF432="",AF432=0),"",AL432/AF432)</f>
        <v/>
      </c>
      <c r="AO432" s="42"/>
      <c r="AP432" s="42"/>
      <c r="AQ432" s="42"/>
      <c r="AR432" s="46" t="str">
        <f aca="true">IF(OR(A432="",P432=""),"",IF(AO432&lt;&gt;"",AO432-P432,TODAY()-P432))</f>
        <v/>
      </c>
      <c r="AS432" s="42"/>
    </row>
    <row r="433" customFormat="false" ht="21.75" hidden="false" customHeight="true" outlineLevel="0" collapsed="false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8" t="str">
        <f aca="false">IF(A433="","",SUM(Y433:AE433))</f>
        <v/>
      </c>
      <c r="AG433" s="38" t="str">
        <f aca="false">IF(AF433="","",ROUND(AF433*1.2/100,0)*100)</f>
        <v/>
      </c>
      <c r="AH433" s="38"/>
      <c r="AI433" s="38" t="str">
        <f aca="false">IF(AF433="","",ROUND(AF433*1.05/100,0)*100)</f>
        <v/>
      </c>
      <c r="AJ433" s="38" t="str">
        <f aca="false">IF(OR(AH433="",AF433=""),"",AH433-AF433)</f>
        <v/>
      </c>
      <c r="AK433" s="39" t="str">
        <f aca="false">IF(OR(AF433="",AF433=0),"",AJ433/AF433)</f>
        <v/>
      </c>
      <c r="AL433" s="38" t="str">
        <f aca="false">IF(AJ433="","",AJ433-AM433)</f>
        <v/>
      </c>
      <c r="AM433" s="40" t="str">
        <f aca="false">IF(OR(AH433="",AF433=""),"",ROUND((AH433-AF433)/1.2*0.2,2))</f>
        <v/>
      </c>
      <c r="AN433" s="39" t="str">
        <f aca="false">IF(OR(AF433="",AF433=0),"",AL433/AF433)</f>
        <v/>
      </c>
      <c r="AO433" s="37"/>
      <c r="AP433" s="37"/>
      <c r="AQ433" s="37"/>
      <c r="AR433" s="41" t="str">
        <f aca="true">IF(OR(A433="",P433=""),"",IF(AO433&lt;&gt;"",AO433-P433,TODAY()-P433))</f>
        <v/>
      </c>
      <c r="AS433" s="37"/>
    </row>
    <row r="434" customFormat="false" ht="21.75" hidden="false" customHeight="true" outlineLevel="0" collapsed="false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3" t="str">
        <f aca="false">IF(A434="","",SUM(Y434:AE434))</f>
        <v/>
      </c>
      <c r="AG434" s="43" t="str">
        <f aca="false">IF(AF434="","",ROUND(AF434*1.2/100,0)*100)</f>
        <v/>
      </c>
      <c r="AH434" s="43"/>
      <c r="AI434" s="43" t="str">
        <f aca="false">IF(AF434="","",ROUND(AF434*1.05/100,0)*100)</f>
        <v/>
      </c>
      <c r="AJ434" s="43" t="str">
        <f aca="false">IF(OR(AH434="",AF434=""),"",AH434-AF434)</f>
        <v/>
      </c>
      <c r="AK434" s="44" t="str">
        <f aca="false">IF(OR(AF434="",AF434=0),"",AJ434/AF434)</f>
        <v/>
      </c>
      <c r="AL434" s="43" t="str">
        <f aca="false">IF(AJ434="","",AJ434-AM434)</f>
        <v/>
      </c>
      <c r="AM434" s="45" t="str">
        <f aca="false">IF(OR(AH434="",AF434=""),"",ROUND((AH434-AF434)/1.2*0.2,2))</f>
        <v/>
      </c>
      <c r="AN434" s="44" t="str">
        <f aca="false">IF(OR(AF434="",AF434=0),"",AL434/AF434)</f>
        <v/>
      </c>
      <c r="AO434" s="42"/>
      <c r="AP434" s="42"/>
      <c r="AQ434" s="42"/>
      <c r="AR434" s="46" t="str">
        <f aca="true">IF(OR(A434="",P434=""),"",IF(AO434&lt;&gt;"",AO434-P434,TODAY()-P434))</f>
        <v/>
      </c>
      <c r="AS434" s="42"/>
    </row>
    <row r="435" customFormat="false" ht="21.75" hidden="false" customHeight="true" outlineLevel="0" collapsed="false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8" t="str">
        <f aca="false">IF(A435="","",SUM(Y435:AE435))</f>
        <v/>
      </c>
      <c r="AG435" s="38" t="str">
        <f aca="false">IF(AF435="","",ROUND(AF435*1.2/100,0)*100)</f>
        <v/>
      </c>
      <c r="AH435" s="38"/>
      <c r="AI435" s="38" t="str">
        <f aca="false">IF(AF435="","",ROUND(AF435*1.05/100,0)*100)</f>
        <v/>
      </c>
      <c r="AJ435" s="38" t="str">
        <f aca="false">IF(OR(AH435="",AF435=""),"",AH435-AF435)</f>
        <v/>
      </c>
      <c r="AK435" s="39" t="str">
        <f aca="false">IF(OR(AF435="",AF435=0),"",AJ435/AF435)</f>
        <v/>
      </c>
      <c r="AL435" s="38" t="str">
        <f aca="false">IF(AJ435="","",AJ435-AM435)</f>
        <v/>
      </c>
      <c r="AM435" s="40" t="str">
        <f aca="false">IF(OR(AH435="",AF435=""),"",ROUND((AH435-AF435)/1.2*0.2,2))</f>
        <v/>
      </c>
      <c r="AN435" s="39" t="str">
        <f aca="false">IF(OR(AF435="",AF435=0),"",AL435/AF435)</f>
        <v/>
      </c>
      <c r="AO435" s="37"/>
      <c r="AP435" s="37"/>
      <c r="AQ435" s="37"/>
      <c r="AR435" s="41" t="str">
        <f aca="true">IF(OR(A435="",P435=""),"",IF(AO435&lt;&gt;"",AO435-P435,TODAY()-P435))</f>
        <v/>
      </c>
      <c r="AS435" s="37"/>
    </row>
    <row r="436" customFormat="false" ht="21.75" hidden="false" customHeight="true" outlineLevel="0" collapsed="false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3" t="str">
        <f aca="false">IF(A436="","",SUM(Y436:AE436))</f>
        <v/>
      </c>
      <c r="AG436" s="43" t="str">
        <f aca="false">IF(AF436="","",ROUND(AF436*1.2/100,0)*100)</f>
        <v/>
      </c>
      <c r="AH436" s="43"/>
      <c r="AI436" s="43" t="str">
        <f aca="false">IF(AF436="","",ROUND(AF436*1.05/100,0)*100)</f>
        <v/>
      </c>
      <c r="AJ436" s="43" t="str">
        <f aca="false">IF(OR(AH436="",AF436=""),"",AH436-AF436)</f>
        <v/>
      </c>
      <c r="AK436" s="44" t="str">
        <f aca="false">IF(OR(AF436="",AF436=0),"",AJ436/AF436)</f>
        <v/>
      </c>
      <c r="AL436" s="43" t="str">
        <f aca="false">IF(AJ436="","",AJ436-AM436)</f>
        <v/>
      </c>
      <c r="AM436" s="45" t="str">
        <f aca="false">IF(OR(AH436="",AF436=""),"",ROUND((AH436-AF436)/1.2*0.2,2))</f>
        <v/>
      </c>
      <c r="AN436" s="44" t="str">
        <f aca="false">IF(OR(AF436="",AF436=0),"",AL436/AF436)</f>
        <v/>
      </c>
      <c r="AO436" s="42"/>
      <c r="AP436" s="42"/>
      <c r="AQ436" s="42"/>
      <c r="AR436" s="46" t="str">
        <f aca="true">IF(OR(A436="",P436=""),"",IF(AO436&lt;&gt;"",AO436-P436,TODAY()-P436))</f>
        <v/>
      </c>
      <c r="AS436" s="42"/>
    </row>
    <row r="437" customFormat="false" ht="21.75" hidden="false" customHeight="true" outlineLevel="0" collapsed="false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8" t="str">
        <f aca="false">IF(A437="","",SUM(Y437:AE437))</f>
        <v/>
      </c>
      <c r="AG437" s="38" t="str">
        <f aca="false">IF(AF437="","",ROUND(AF437*1.2/100,0)*100)</f>
        <v/>
      </c>
      <c r="AH437" s="38"/>
      <c r="AI437" s="38" t="str">
        <f aca="false">IF(AF437="","",ROUND(AF437*1.05/100,0)*100)</f>
        <v/>
      </c>
      <c r="AJ437" s="38" t="str">
        <f aca="false">IF(OR(AH437="",AF437=""),"",AH437-AF437)</f>
        <v/>
      </c>
      <c r="AK437" s="39" t="str">
        <f aca="false">IF(OR(AF437="",AF437=0),"",AJ437/AF437)</f>
        <v/>
      </c>
      <c r="AL437" s="38" t="str">
        <f aca="false">IF(AJ437="","",AJ437-AM437)</f>
        <v/>
      </c>
      <c r="AM437" s="40" t="str">
        <f aca="false">IF(OR(AH437="",AF437=""),"",ROUND((AH437-AF437)/1.2*0.2,2))</f>
        <v/>
      </c>
      <c r="AN437" s="39" t="str">
        <f aca="false">IF(OR(AF437="",AF437=0),"",AL437/AF437)</f>
        <v/>
      </c>
      <c r="AO437" s="37"/>
      <c r="AP437" s="37"/>
      <c r="AQ437" s="37"/>
      <c r="AR437" s="41" t="str">
        <f aca="true">IF(OR(A437="",P437=""),"",IF(AO437&lt;&gt;"",AO437-P437,TODAY()-P437))</f>
        <v/>
      </c>
      <c r="AS437" s="37"/>
    </row>
    <row r="438" customFormat="false" ht="21.75" hidden="false" customHeight="true" outlineLevel="0" collapsed="false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3" t="str">
        <f aca="false">IF(A438="","",SUM(Y438:AE438))</f>
        <v/>
      </c>
      <c r="AG438" s="43" t="str">
        <f aca="false">IF(AF438="","",ROUND(AF438*1.2/100,0)*100)</f>
        <v/>
      </c>
      <c r="AH438" s="43"/>
      <c r="AI438" s="43" t="str">
        <f aca="false">IF(AF438="","",ROUND(AF438*1.05/100,0)*100)</f>
        <v/>
      </c>
      <c r="AJ438" s="43" t="str">
        <f aca="false">IF(OR(AH438="",AF438=""),"",AH438-AF438)</f>
        <v/>
      </c>
      <c r="AK438" s="44" t="str">
        <f aca="false">IF(OR(AF438="",AF438=0),"",AJ438/AF438)</f>
        <v/>
      </c>
      <c r="AL438" s="43" t="str">
        <f aca="false">IF(AJ438="","",AJ438-AM438)</f>
        <v/>
      </c>
      <c r="AM438" s="45" t="str">
        <f aca="false">IF(OR(AH438="",AF438=""),"",ROUND((AH438-AF438)/1.2*0.2,2))</f>
        <v/>
      </c>
      <c r="AN438" s="44" t="str">
        <f aca="false">IF(OR(AF438="",AF438=0),"",AL438/AF438)</f>
        <v/>
      </c>
      <c r="AO438" s="42"/>
      <c r="AP438" s="42"/>
      <c r="AQ438" s="42"/>
      <c r="AR438" s="46" t="str">
        <f aca="true">IF(OR(A438="",P438=""),"",IF(AO438&lt;&gt;"",AO438-P438,TODAY()-P438))</f>
        <v/>
      </c>
      <c r="AS438" s="42"/>
    </row>
    <row r="439" customFormat="false" ht="21.75" hidden="false" customHeight="true" outlineLevel="0" collapsed="false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8" t="str">
        <f aca="false">IF(A439="","",SUM(Y439:AE439))</f>
        <v/>
      </c>
      <c r="AG439" s="38" t="str">
        <f aca="false">IF(AF439="","",ROUND(AF439*1.2/100,0)*100)</f>
        <v/>
      </c>
      <c r="AH439" s="38"/>
      <c r="AI439" s="38" t="str">
        <f aca="false">IF(AF439="","",ROUND(AF439*1.05/100,0)*100)</f>
        <v/>
      </c>
      <c r="AJ439" s="38" t="str">
        <f aca="false">IF(OR(AH439="",AF439=""),"",AH439-AF439)</f>
        <v/>
      </c>
      <c r="AK439" s="39" t="str">
        <f aca="false">IF(OR(AF439="",AF439=0),"",AJ439/AF439)</f>
        <v/>
      </c>
      <c r="AL439" s="38" t="str">
        <f aca="false">IF(AJ439="","",AJ439-AM439)</f>
        <v/>
      </c>
      <c r="AM439" s="40" t="str">
        <f aca="false">IF(OR(AH439="",AF439=""),"",ROUND((AH439-AF439)/1.2*0.2,2))</f>
        <v/>
      </c>
      <c r="AN439" s="39" t="str">
        <f aca="false">IF(OR(AF439="",AF439=0),"",AL439/AF439)</f>
        <v/>
      </c>
      <c r="AO439" s="37"/>
      <c r="AP439" s="37"/>
      <c r="AQ439" s="37"/>
      <c r="AR439" s="41" t="str">
        <f aca="true">IF(OR(A439="",P439=""),"",IF(AO439&lt;&gt;"",AO439-P439,TODAY()-P439))</f>
        <v/>
      </c>
      <c r="AS439" s="37"/>
    </row>
    <row r="440" customFormat="false" ht="21.75" hidden="false" customHeight="true" outlineLevel="0" collapsed="false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3" t="str">
        <f aca="false">IF(A440="","",SUM(Y440:AE440))</f>
        <v/>
      </c>
      <c r="AG440" s="43" t="str">
        <f aca="false">IF(AF440="","",ROUND(AF440*1.2/100,0)*100)</f>
        <v/>
      </c>
      <c r="AH440" s="43"/>
      <c r="AI440" s="43" t="str">
        <f aca="false">IF(AF440="","",ROUND(AF440*1.05/100,0)*100)</f>
        <v/>
      </c>
      <c r="AJ440" s="43" t="str">
        <f aca="false">IF(OR(AH440="",AF440=""),"",AH440-AF440)</f>
        <v/>
      </c>
      <c r="AK440" s="44" t="str">
        <f aca="false">IF(OR(AF440="",AF440=0),"",AJ440/AF440)</f>
        <v/>
      </c>
      <c r="AL440" s="43" t="str">
        <f aca="false">IF(AJ440="","",AJ440-AM440)</f>
        <v/>
      </c>
      <c r="AM440" s="45" t="str">
        <f aca="false">IF(OR(AH440="",AF440=""),"",ROUND((AH440-AF440)/1.2*0.2,2))</f>
        <v/>
      </c>
      <c r="AN440" s="44" t="str">
        <f aca="false">IF(OR(AF440="",AF440=0),"",AL440/AF440)</f>
        <v/>
      </c>
      <c r="AO440" s="42"/>
      <c r="AP440" s="42"/>
      <c r="AQ440" s="42"/>
      <c r="AR440" s="46" t="str">
        <f aca="true">IF(OR(A440="",P440=""),"",IF(AO440&lt;&gt;"",AO440-P440,TODAY()-P440))</f>
        <v/>
      </c>
      <c r="AS440" s="42"/>
    </row>
    <row r="441" customFormat="false" ht="21.75" hidden="false" customHeight="true" outlineLevel="0" collapsed="false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8" t="str">
        <f aca="false">IF(A441="","",SUM(Y441:AE441))</f>
        <v/>
      </c>
      <c r="AG441" s="38" t="str">
        <f aca="false">IF(AF441="","",ROUND(AF441*1.2/100,0)*100)</f>
        <v/>
      </c>
      <c r="AH441" s="38"/>
      <c r="AI441" s="38" t="str">
        <f aca="false">IF(AF441="","",ROUND(AF441*1.05/100,0)*100)</f>
        <v/>
      </c>
      <c r="AJ441" s="38" t="str">
        <f aca="false">IF(OR(AH441="",AF441=""),"",AH441-AF441)</f>
        <v/>
      </c>
      <c r="AK441" s="39" t="str">
        <f aca="false">IF(OR(AF441="",AF441=0),"",AJ441/AF441)</f>
        <v/>
      </c>
      <c r="AL441" s="38" t="str">
        <f aca="false">IF(AJ441="","",AJ441-AM441)</f>
        <v/>
      </c>
      <c r="AM441" s="40" t="str">
        <f aca="false">IF(OR(AH441="",AF441=""),"",ROUND((AH441-AF441)/1.2*0.2,2))</f>
        <v/>
      </c>
      <c r="AN441" s="39" t="str">
        <f aca="false">IF(OR(AF441="",AF441=0),"",AL441/AF441)</f>
        <v/>
      </c>
      <c r="AO441" s="37"/>
      <c r="AP441" s="37"/>
      <c r="AQ441" s="37"/>
      <c r="AR441" s="41" t="str">
        <f aca="true">IF(OR(A441="",P441=""),"",IF(AO441&lt;&gt;"",AO441-P441,TODAY()-P441))</f>
        <v/>
      </c>
      <c r="AS441" s="37"/>
    </row>
    <row r="442" customFormat="false" ht="21.75" hidden="false" customHeight="true" outlineLevel="0" collapsed="false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3" t="str">
        <f aca="false">IF(A442="","",SUM(Y442:AE442))</f>
        <v/>
      </c>
      <c r="AG442" s="43" t="str">
        <f aca="false">IF(AF442="","",ROUND(AF442*1.2/100,0)*100)</f>
        <v/>
      </c>
      <c r="AH442" s="43"/>
      <c r="AI442" s="43" t="str">
        <f aca="false">IF(AF442="","",ROUND(AF442*1.05/100,0)*100)</f>
        <v/>
      </c>
      <c r="AJ442" s="43" t="str">
        <f aca="false">IF(OR(AH442="",AF442=""),"",AH442-AF442)</f>
        <v/>
      </c>
      <c r="AK442" s="44" t="str">
        <f aca="false">IF(OR(AF442="",AF442=0),"",AJ442/AF442)</f>
        <v/>
      </c>
      <c r="AL442" s="43" t="str">
        <f aca="false">IF(AJ442="","",AJ442-AM442)</f>
        <v/>
      </c>
      <c r="AM442" s="45" t="str">
        <f aca="false">IF(OR(AH442="",AF442=""),"",ROUND((AH442-AF442)/1.2*0.2,2))</f>
        <v/>
      </c>
      <c r="AN442" s="44" t="str">
        <f aca="false">IF(OR(AF442="",AF442=0),"",AL442/AF442)</f>
        <v/>
      </c>
      <c r="AO442" s="42"/>
      <c r="AP442" s="42"/>
      <c r="AQ442" s="42"/>
      <c r="AR442" s="46" t="str">
        <f aca="true">IF(OR(A442="",P442=""),"",IF(AO442&lt;&gt;"",AO442-P442,TODAY()-P442))</f>
        <v/>
      </c>
      <c r="AS442" s="42"/>
    </row>
    <row r="443" customFormat="false" ht="21.75" hidden="false" customHeight="true" outlineLevel="0" collapsed="false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8" t="str">
        <f aca="false">IF(A443="","",SUM(Y443:AE443))</f>
        <v/>
      </c>
      <c r="AG443" s="38" t="str">
        <f aca="false">IF(AF443="","",ROUND(AF443*1.2/100,0)*100)</f>
        <v/>
      </c>
      <c r="AH443" s="38"/>
      <c r="AI443" s="38" t="str">
        <f aca="false">IF(AF443="","",ROUND(AF443*1.05/100,0)*100)</f>
        <v/>
      </c>
      <c r="AJ443" s="38" t="str">
        <f aca="false">IF(OR(AH443="",AF443=""),"",AH443-AF443)</f>
        <v/>
      </c>
      <c r="AK443" s="39" t="str">
        <f aca="false">IF(OR(AF443="",AF443=0),"",AJ443/AF443)</f>
        <v/>
      </c>
      <c r="AL443" s="38" t="str">
        <f aca="false">IF(AJ443="","",AJ443-AM443)</f>
        <v/>
      </c>
      <c r="AM443" s="40" t="str">
        <f aca="false">IF(OR(AH443="",AF443=""),"",ROUND((AH443-AF443)/1.2*0.2,2))</f>
        <v/>
      </c>
      <c r="AN443" s="39" t="str">
        <f aca="false">IF(OR(AF443="",AF443=0),"",AL443/AF443)</f>
        <v/>
      </c>
      <c r="AO443" s="37"/>
      <c r="AP443" s="37"/>
      <c r="AQ443" s="37"/>
      <c r="AR443" s="41" t="str">
        <f aca="true">IF(OR(A443="",P443=""),"",IF(AO443&lt;&gt;"",AO443-P443,TODAY()-P443))</f>
        <v/>
      </c>
      <c r="AS443" s="37"/>
    </row>
    <row r="444" customFormat="false" ht="21.75" hidden="false" customHeight="true" outlineLevel="0" collapsed="false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3" t="str">
        <f aca="false">IF(A444="","",SUM(Y444:AE444))</f>
        <v/>
      </c>
      <c r="AG444" s="43" t="str">
        <f aca="false">IF(AF444="","",ROUND(AF444*1.2/100,0)*100)</f>
        <v/>
      </c>
      <c r="AH444" s="43"/>
      <c r="AI444" s="43" t="str">
        <f aca="false">IF(AF444="","",ROUND(AF444*1.05/100,0)*100)</f>
        <v/>
      </c>
      <c r="AJ444" s="43" t="str">
        <f aca="false">IF(OR(AH444="",AF444=""),"",AH444-AF444)</f>
        <v/>
      </c>
      <c r="AK444" s="44" t="str">
        <f aca="false">IF(OR(AF444="",AF444=0),"",AJ444/AF444)</f>
        <v/>
      </c>
      <c r="AL444" s="43" t="str">
        <f aca="false">IF(AJ444="","",AJ444-AM444)</f>
        <v/>
      </c>
      <c r="AM444" s="45" t="str">
        <f aca="false">IF(OR(AH444="",AF444=""),"",ROUND((AH444-AF444)/1.2*0.2,2))</f>
        <v/>
      </c>
      <c r="AN444" s="44" t="str">
        <f aca="false">IF(OR(AF444="",AF444=0),"",AL444/AF444)</f>
        <v/>
      </c>
      <c r="AO444" s="42"/>
      <c r="AP444" s="42"/>
      <c r="AQ444" s="42"/>
      <c r="AR444" s="46" t="str">
        <f aca="true">IF(OR(A444="",P444=""),"",IF(AO444&lt;&gt;"",AO444-P444,TODAY()-P444))</f>
        <v/>
      </c>
      <c r="AS444" s="42"/>
    </row>
    <row r="445" customFormat="false" ht="21.75" hidden="false" customHeight="true" outlineLevel="0" collapsed="false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8" t="str">
        <f aca="false">IF(A445="","",SUM(Y445:AE445))</f>
        <v/>
      </c>
      <c r="AG445" s="38" t="str">
        <f aca="false">IF(AF445="","",ROUND(AF445*1.2/100,0)*100)</f>
        <v/>
      </c>
      <c r="AH445" s="38"/>
      <c r="AI445" s="38" t="str">
        <f aca="false">IF(AF445="","",ROUND(AF445*1.05/100,0)*100)</f>
        <v/>
      </c>
      <c r="AJ445" s="38" t="str">
        <f aca="false">IF(OR(AH445="",AF445=""),"",AH445-AF445)</f>
        <v/>
      </c>
      <c r="AK445" s="39" t="str">
        <f aca="false">IF(OR(AF445="",AF445=0),"",AJ445/AF445)</f>
        <v/>
      </c>
      <c r="AL445" s="38" t="str">
        <f aca="false">IF(AJ445="","",AJ445-AM445)</f>
        <v/>
      </c>
      <c r="AM445" s="40" t="str">
        <f aca="false">IF(OR(AH445="",AF445=""),"",ROUND((AH445-AF445)/1.2*0.2,2))</f>
        <v/>
      </c>
      <c r="AN445" s="39" t="str">
        <f aca="false">IF(OR(AF445="",AF445=0),"",AL445/AF445)</f>
        <v/>
      </c>
      <c r="AO445" s="37"/>
      <c r="AP445" s="37"/>
      <c r="AQ445" s="37"/>
      <c r="AR445" s="41" t="str">
        <f aca="true">IF(OR(A445="",P445=""),"",IF(AO445&lt;&gt;"",AO445-P445,TODAY()-P445))</f>
        <v/>
      </c>
      <c r="AS445" s="37"/>
    </row>
    <row r="446" customFormat="false" ht="21.75" hidden="false" customHeight="true" outlineLevel="0" collapsed="false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3" t="str">
        <f aca="false">IF(A446="","",SUM(Y446:AE446))</f>
        <v/>
      </c>
      <c r="AG446" s="43" t="str">
        <f aca="false">IF(AF446="","",ROUND(AF446*1.2/100,0)*100)</f>
        <v/>
      </c>
      <c r="AH446" s="43"/>
      <c r="AI446" s="43" t="str">
        <f aca="false">IF(AF446="","",ROUND(AF446*1.05/100,0)*100)</f>
        <v/>
      </c>
      <c r="AJ446" s="43" t="str">
        <f aca="false">IF(OR(AH446="",AF446=""),"",AH446-AF446)</f>
        <v/>
      </c>
      <c r="AK446" s="44" t="str">
        <f aca="false">IF(OR(AF446="",AF446=0),"",AJ446/AF446)</f>
        <v/>
      </c>
      <c r="AL446" s="43" t="str">
        <f aca="false">IF(AJ446="","",AJ446-AM446)</f>
        <v/>
      </c>
      <c r="AM446" s="45" t="str">
        <f aca="false">IF(OR(AH446="",AF446=""),"",ROUND((AH446-AF446)/1.2*0.2,2))</f>
        <v/>
      </c>
      <c r="AN446" s="44" t="str">
        <f aca="false">IF(OR(AF446="",AF446=0),"",AL446/AF446)</f>
        <v/>
      </c>
      <c r="AO446" s="42"/>
      <c r="AP446" s="42"/>
      <c r="AQ446" s="42"/>
      <c r="AR446" s="46" t="str">
        <f aca="true">IF(OR(A446="",P446=""),"",IF(AO446&lt;&gt;"",AO446-P446,TODAY()-P446))</f>
        <v/>
      </c>
      <c r="AS446" s="42"/>
    </row>
    <row r="447" customFormat="false" ht="21.75" hidden="false" customHeight="true" outlineLevel="0" collapsed="false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8" t="str">
        <f aca="false">IF(A447="","",SUM(Y447:AE447))</f>
        <v/>
      </c>
      <c r="AG447" s="38" t="str">
        <f aca="false">IF(AF447="","",ROUND(AF447*1.2/100,0)*100)</f>
        <v/>
      </c>
      <c r="AH447" s="38"/>
      <c r="AI447" s="38" t="str">
        <f aca="false">IF(AF447="","",ROUND(AF447*1.05/100,0)*100)</f>
        <v/>
      </c>
      <c r="AJ447" s="38" t="str">
        <f aca="false">IF(OR(AH447="",AF447=""),"",AH447-AF447)</f>
        <v/>
      </c>
      <c r="AK447" s="39" t="str">
        <f aca="false">IF(OR(AF447="",AF447=0),"",AJ447/AF447)</f>
        <v/>
      </c>
      <c r="AL447" s="38" t="str">
        <f aca="false">IF(AJ447="","",AJ447-AM447)</f>
        <v/>
      </c>
      <c r="AM447" s="40" t="str">
        <f aca="false">IF(OR(AH447="",AF447=""),"",ROUND((AH447-AF447)/1.2*0.2,2))</f>
        <v/>
      </c>
      <c r="AN447" s="39" t="str">
        <f aca="false">IF(OR(AF447="",AF447=0),"",AL447/AF447)</f>
        <v/>
      </c>
      <c r="AO447" s="37"/>
      <c r="AP447" s="37"/>
      <c r="AQ447" s="37"/>
      <c r="AR447" s="41" t="str">
        <f aca="true">IF(OR(A447="",P447=""),"",IF(AO447&lt;&gt;"",AO447-P447,TODAY()-P447))</f>
        <v/>
      </c>
      <c r="AS447" s="37"/>
    </row>
    <row r="448" customFormat="false" ht="21.75" hidden="false" customHeight="true" outlineLevel="0" collapsed="false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3" t="str">
        <f aca="false">IF(A448="","",SUM(Y448:AE448))</f>
        <v/>
      </c>
      <c r="AG448" s="43" t="str">
        <f aca="false">IF(AF448="","",ROUND(AF448*1.2/100,0)*100)</f>
        <v/>
      </c>
      <c r="AH448" s="43"/>
      <c r="AI448" s="43" t="str">
        <f aca="false">IF(AF448="","",ROUND(AF448*1.05/100,0)*100)</f>
        <v/>
      </c>
      <c r="AJ448" s="43" t="str">
        <f aca="false">IF(OR(AH448="",AF448=""),"",AH448-AF448)</f>
        <v/>
      </c>
      <c r="AK448" s="44" t="str">
        <f aca="false">IF(OR(AF448="",AF448=0),"",AJ448/AF448)</f>
        <v/>
      </c>
      <c r="AL448" s="43" t="str">
        <f aca="false">IF(AJ448="","",AJ448-AM448)</f>
        <v/>
      </c>
      <c r="AM448" s="45" t="str">
        <f aca="false">IF(OR(AH448="",AF448=""),"",ROUND((AH448-AF448)/1.2*0.2,2))</f>
        <v/>
      </c>
      <c r="AN448" s="44" t="str">
        <f aca="false">IF(OR(AF448="",AF448=0),"",AL448/AF448)</f>
        <v/>
      </c>
      <c r="AO448" s="42"/>
      <c r="AP448" s="42"/>
      <c r="AQ448" s="42"/>
      <c r="AR448" s="46" t="str">
        <f aca="true">IF(OR(A448="",P448=""),"",IF(AO448&lt;&gt;"",AO448-P448,TODAY()-P448))</f>
        <v/>
      </c>
      <c r="AS448" s="42"/>
    </row>
    <row r="449" customFormat="false" ht="21.75" hidden="false" customHeight="true" outlineLevel="0" collapsed="false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8" t="str">
        <f aca="false">IF(A449="","",SUM(Y449:AE449))</f>
        <v/>
      </c>
      <c r="AG449" s="38" t="str">
        <f aca="false">IF(AF449="","",ROUND(AF449*1.2/100,0)*100)</f>
        <v/>
      </c>
      <c r="AH449" s="38"/>
      <c r="AI449" s="38" t="str">
        <f aca="false">IF(AF449="","",ROUND(AF449*1.05/100,0)*100)</f>
        <v/>
      </c>
      <c r="AJ449" s="38" t="str">
        <f aca="false">IF(OR(AH449="",AF449=""),"",AH449-AF449)</f>
        <v/>
      </c>
      <c r="AK449" s="39" t="str">
        <f aca="false">IF(OR(AF449="",AF449=0),"",AJ449/AF449)</f>
        <v/>
      </c>
      <c r="AL449" s="38" t="str">
        <f aca="false">IF(AJ449="","",AJ449-AM449)</f>
        <v/>
      </c>
      <c r="AM449" s="40" t="str">
        <f aca="false">IF(OR(AH449="",AF449=""),"",ROUND((AH449-AF449)/1.2*0.2,2))</f>
        <v/>
      </c>
      <c r="AN449" s="39" t="str">
        <f aca="false">IF(OR(AF449="",AF449=0),"",AL449/AF449)</f>
        <v/>
      </c>
      <c r="AO449" s="37"/>
      <c r="AP449" s="37"/>
      <c r="AQ449" s="37"/>
      <c r="AR449" s="41" t="str">
        <f aca="true">IF(OR(A449="",P449=""),"",IF(AO449&lt;&gt;"",AO449-P449,TODAY()-P449))</f>
        <v/>
      </c>
      <c r="AS449" s="37"/>
    </row>
    <row r="450" customFormat="false" ht="21.75" hidden="false" customHeight="true" outlineLevel="0" collapsed="false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3" t="str">
        <f aca="false">IF(A450="","",SUM(Y450:AE450))</f>
        <v/>
      </c>
      <c r="AG450" s="43" t="str">
        <f aca="false">IF(AF450="","",ROUND(AF450*1.2/100,0)*100)</f>
        <v/>
      </c>
      <c r="AH450" s="43"/>
      <c r="AI450" s="43" t="str">
        <f aca="false">IF(AF450="","",ROUND(AF450*1.05/100,0)*100)</f>
        <v/>
      </c>
      <c r="AJ450" s="43" t="str">
        <f aca="false">IF(OR(AH450="",AF450=""),"",AH450-AF450)</f>
        <v/>
      </c>
      <c r="AK450" s="44" t="str">
        <f aca="false">IF(OR(AF450="",AF450=0),"",AJ450/AF450)</f>
        <v/>
      </c>
      <c r="AL450" s="43" t="str">
        <f aca="false">IF(AJ450="","",AJ450-AM450)</f>
        <v/>
      </c>
      <c r="AM450" s="45" t="str">
        <f aca="false">IF(OR(AH450="",AF450=""),"",ROUND((AH450-AF450)/1.2*0.2,2))</f>
        <v/>
      </c>
      <c r="AN450" s="44" t="str">
        <f aca="false">IF(OR(AF450="",AF450=0),"",AL450/AF450)</f>
        <v/>
      </c>
      <c r="AO450" s="42"/>
      <c r="AP450" s="42"/>
      <c r="AQ450" s="42"/>
      <c r="AR450" s="46" t="str">
        <f aca="true">IF(OR(A450="",P450=""),"",IF(AO450&lt;&gt;"",AO450-P450,TODAY()-P450))</f>
        <v/>
      </c>
      <c r="AS450" s="42"/>
    </row>
    <row r="451" customFormat="false" ht="21.75" hidden="false" customHeight="true" outlineLevel="0" collapsed="false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8" t="str">
        <f aca="false">IF(A451="","",SUM(Y451:AE451))</f>
        <v/>
      </c>
      <c r="AG451" s="38" t="str">
        <f aca="false">IF(AF451="","",ROUND(AF451*1.2/100,0)*100)</f>
        <v/>
      </c>
      <c r="AH451" s="38"/>
      <c r="AI451" s="38" t="str">
        <f aca="false">IF(AF451="","",ROUND(AF451*1.05/100,0)*100)</f>
        <v/>
      </c>
      <c r="AJ451" s="38" t="str">
        <f aca="false">IF(OR(AH451="",AF451=""),"",AH451-AF451)</f>
        <v/>
      </c>
      <c r="AK451" s="39" t="str">
        <f aca="false">IF(OR(AF451="",AF451=0),"",AJ451/AF451)</f>
        <v/>
      </c>
      <c r="AL451" s="38" t="str">
        <f aca="false">IF(AJ451="","",AJ451-AM451)</f>
        <v/>
      </c>
      <c r="AM451" s="40" t="str">
        <f aca="false">IF(OR(AH451="",AF451=""),"",ROUND((AH451-AF451)/1.2*0.2,2))</f>
        <v/>
      </c>
      <c r="AN451" s="39" t="str">
        <f aca="false">IF(OR(AF451="",AF451=0),"",AL451/AF451)</f>
        <v/>
      </c>
      <c r="AO451" s="37"/>
      <c r="AP451" s="37"/>
      <c r="AQ451" s="37"/>
      <c r="AR451" s="41" t="str">
        <f aca="true">IF(OR(A451="",P451=""),"",IF(AO451&lt;&gt;"",AO451-P451,TODAY()-P451))</f>
        <v/>
      </c>
      <c r="AS451" s="37"/>
    </row>
    <row r="452" customFormat="false" ht="21.75" hidden="false" customHeight="true" outlineLevel="0" collapsed="false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3" t="str">
        <f aca="false">IF(A452="","",SUM(Y452:AE452))</f>
        <v/>
      </c>
      <c r="AG452" s="43" t="str">
        <f aca="false">IF(AF452="","",ROUND(AF452*1.2/100,0)*100)</f>
        <v/>
      </c>
      <c r="AH452" s="43"/>
      <c r="AI452" s="43" t="str">
        <f aca="false">IF(AF452="","",ROUND(AF452*1.05/100,0)*100)</f>
        <v/>
      </c>
      <c r="AJ452" s="43" t="str">
        <f aca="false">IF(OR(AH452="",AF452=""),"",AH452-AF452)</f>
        <v/>
      </c>
      <c r="AK452" s="44" t="str">
        <f aca="false">IF(OR(AF452="",AF452=0),"",AJ452/AF452)</f>
        <v/>
      </c>
      <c r="AL452" s="43" t="str">
        <f aca="false">IF(AJ452="","",AJ452-AM452)</f>
        <v/>
      </c>
      <c r="AM452" s="45" t="str">
        <f aca="false">IF(OR(AH452="",AF452=""),"",ROUND((AH452-AF452)/1.2*0.2,2))</f>
        <v/>
      </c>
      <c r="AN452" s="44" t="str">
        <f aca="false">IF(OR(AF452="",AF452=0),"",AL452/AF452)</f>
        <v/>
      </c>
      <c r="AO452" s="42"/>
      <c r="AP452" s="42"/>
      <c r="AQ452" s="42"/>
      <c r="AR452" s="46" t="str">
        <f aca="true">IF(OR(A452="",P452=""),"",IF(AO452&lt;&gt;"",AO452-P452,TODAY()-P452))</f>
        <v/>
      </c>
      <c r="AS452" s="42"/>
    </row>
    <row r="453" customFormat="false" ht="21.75" hidden="false" customHeight="true" outlineLevel="0" collapsed="false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8" t="str">
        <f aca="false">IF(A453="","",SUM(Y453:AE453))</f>
        <v/>
      </c>
      <c r="AG453" s="38" t="str">
        <f aca="false">IF(AF453="","",ROUND(AF453*1.2/100,0)*100)</f>
        <v/>
      </c>
      <c r="AH453" s="38"/>
      <c r="AI453" s="38" t="str">
        <f aca="false">IF(AF453="","",ROUND(AF453*1.05/100,0)*100)</f>
        <v/>
      </c>
      <c r="AJ453" s="38" t="str">
        <f aca="false">IF(OR(AH453="",AF453=""),"",AH453-AF453)</f>
        <v/>
      </c>
      <c r="AK453" s="39" t="str">
        <f aca="false">IF(OR(AF453="",AF453=0),"",AJ453/AF453)</f>
        <v/>
      </c>
      <c r="AL453" s="38" t="str">
        <f aca="false">IF(AJ453="","",AJ453-AM453)</f>
        <v/>
      </c>
      <c r="AM453" s="40" t="str">
        <f aca="false">IF(OR(AH453="",AF453=""),"",ROUND((AH453-AF453)/1.2*0.2,2))</f>
        <v/>
      </c>
      <c r="AN453" s="39" t="str">
        <f aca="false">IF(OR(AF453="",AF453=0),"",AL453/AF453)</f>
        <v/>
      </c>
      <c r="AO453" s="37"/>
      <c r="AP453" s="37"/>
      <c r="AQ453" s="37"/>
      <c r="AR453" s="41" t="str">
        <f aca="true">IF(OR(A453="",P453=""),"",IF(AO453&lt;&gt;"",AO453-P453,TODAY()-P453))</f>
        <v/>
      </c>
      <c r="AS453" s="37"/>
    </row>
    <row r="454" customFormat="false" ht="21.75" hidden="false" customHeight="true" outlineLevel="0" collapsed="false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3" t="str">
        <f aca="false">IF(A454="","",SUM(Y454:AE454))</f>
        <v/>
      </c>
      <c r="AG454" s="43" t="str">
        <f aca="false">IF(AF454="","",ROUND(AF454*1.2/100,0)*100)</f>
        <v/>
      </c>
      <c r="AH454" s="43"/>
      <c r="AI454" s="43" t="str">
        <f aca="false">IF(AF454="","",ROUND(AF454*1.05/100,0)*100)</f>
        <v/>
      </c>
      <c r="AJ454" s="43" t="str">
        <f aca="false">IF(OR(AH454="",AF454=""),"",AH454-AF454)</f>
        <v/>
      </c>
      <c r="AK454" s="44" t="str">
        <f aca="false">IF(OR(AF454="",AF454=0),"",AJ454/AF454)</f>
        <v/>
      </c>
      <c r="AL454" s="43" t="str">
        <f aca="false">IF(AJ454="","",AJ454-AM454)</f>
        <v/>
      </c>
      <c r="AM454" s="45" t="str">
        <f aca="false">IF(OR(AH454="",AF454=""),"",ROUND((AH454-AF454)/1.2*0.2,2))</f>
        <v/>
      </c>
      <c r="AN454" s="44" t="str">
        <f aca="false">IF(OR(AF454="",AF454=0),"",AL454/AF454)</f>
        <v/>
      </c>
      <c r="AO454" s="42"/>
      <c r="AP454" s="42"/>
      <c r="AQ454" s="42"/>
      <c r="AR454" s="46" t="str">
        <f aca="true">IF(OR(A454="",P454=""),"",IF(AO454&lt;&gt;"",AO454-P454,TODAY()-P454))</f>
        <v/>
      </c>
      <c r="AS454" s="42"/>
    </row>
    <row r="455" customFormat="false" ht="21.75" hidden="false" customHeight="true" outlineLevel="0" collapsed="false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8" t="str">
        <f aca="false">IF(A455="","",SUM(Y455:AE455))</f>
        <v/>
      </c>
      <c r="AG455" s="38" t="str">
        <f aca="false">IF(AF455="","",ROUND(AF455*1.2/100,0)*100)</f>
        <v/>
      </c>
      <c r="AH455" s="38"/>
      <c r="AI455" s="38" t="str">
        <f aca="false">IF(AF455="","",ROUND(AF455*1.05/100,0)*100)</f>
        <v/>
      </c>
      <c r="AJ455" s="38" t="str">
        <f aca="false">IF(OR(AH455="",AF455=""),"",AH455-AF455)</f>
        <v/>
      </c>
      <c r="AK455" s="39" t="str">
        <f aca="false">IF(OR(AF455="",AF455=0),"",AJ455/AF455)</f>
        <v/>
      </c>
      <c r="AL455" s="38" t="str">
        <f aca="false">IF(AJ455="","",AJ455-AM455)</f>
        <v/>
      </c>
      <c r="AM455" s="40" t="str">
        <f aca="false">IF(OR(AH455="",AF455=""),"",ROUND((AH455-AF455)/1.2*0.2,2))</f>
        <v/>
      </c>
      <c r="AN455" s="39" t="str">
        <f aca="false">IF(OR(AF455="",AF455=0),"",AL455/AF455)</f>
        <v/>
      </c>
      <c r="AO455" s="37"/>
      <c r="AP455" s="37"/>
      <c r="AQ455" s="37"/>
      <c r="AR455" s="41" t="str">
        <f aca="true">IF(OR(A455="",P455=""),"",IF(AO455&lt;&gt;"",AO455-P455,TODAY()-P455))</f>
        <v/>
      </c>
      <c r="AS455" s="37"/>
    </row>
    <row r="456" customFormat="false" ht="21.75" hidden="false" customHeight="true" outlineLevel="0" collapsed="false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3" t="str">
        <f aca="false">IF(A456="","",SUM(Y456:AE456))</f>
        <v/>
      </c>
      <c r="AG456" s="43" t="str">
        <f aca="false">IF(AF456="","",ROUND(AF456*1.2/100,0)*100)</f>
        <v/>
      </c>
      <c r="AH456" s="43"/>
      <c r="AI456" s="43" t="str">
        <f aca="false">IF(AF456="","",ROUND(AF456*1.05/100,0)*100)</f>
        <v/>
      </c>
      <c r="AJ456" s="43" t="str">
        <f aca="false">IF(OR(AH456="",AF456=""),"",AH456-AF456)</f>
        <v/>
      </c>
      <c r="AK456" s="44" t="str">
        <f aca="false">IF(OR(AF456="",AF456=0),"",AJ456/AF456)</f>
        <v/>
      </c>
      <c r="AL456" s="43" t="str">
        <f aca="false">IF(AJ456="","",AJ456-AM456)</f>
        <v/>
      </c>
      <c r="AM456" s="45" t="str">
        <f aca="false">IF(OR(AH456="",AF456=""),"",ROUND((AH456-AF456)/1.2*0.2,2))</f>
        <v/>
      </c>
      <c r="AN456" s="44" t="str">
        <f aca="false">IF(OR(AF456="",AF456=0),"",AL456/AF456)</f>
        <v/>
      </c>
      <c r="AO456" s="42"/>
      <c r="AP456" s="42"/>
      <c r="AQ456" s="42"/>
      <c r="AR456" s="46" t="str">
        <f aca="true">IF(OR(A456="",P456=""),"",IF(AO456&lt;&gt;"",AO456-P456,TODAY()-P456))</f>
        <v/>
      </c>
      <c r="AS456" s="42"/>
    </row>
    <row r="457" customFormat="false" ht="21.75" hidden="false" customHeight="true" outlineLevel="0" collapsed="false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8" t="str">
        <f aca="false">IF(A457="","",SUM(Y457:AE457))</f>
        <v/>
      </c>
      <c r="AG457" s="38" t="str">
        <f aca="false">IF(AF457="","",ROUND(AF457*1.2/100,0)*100)</f>
        <v/>
      </c>
      <c r="AH457" s="38"/>
      <c r="AI457" s="38" t="str">
        <f aca="false">IF(AF457="","",ROUND(AF457*1.05/100,0)*100)</f>
        <v/>
      </c>
      <c r="AJ457" s="38" t="str">
        <f aca="false">IF(OR(AH457="",AF457=""),"",AH457-AF457)</f>
        <v/>
      </c>
      <c r="AK457" s="39" t="str">
        <f aca="false">IF(OR(AF457="",AF457=0),"",AJ457/AF457)</f>
        <v/>
      </c>
      <c r="AL457" s="38" t="str">
        <f aca="false">IF(AJ457="","",AJ457-AM457)</f>
        <v/>
      </c>
      <c r="AM457" s="40" t="str">
        <f aca="false">IF(OR(AH457="",AF457=""),"",ROUND((AH457-AF457)/1.2*0.2,2))</f>
        <v/>
      </c>
      <c r="AN457" s="39" t="str">
        <f aca="false">IF(OR(AF457="",AF457=0),"",AL457/AF457)</f>
        <v/>
      </c>
      <c r="AO457" s="37"/>
      <c r="AP457" s="37"/>
      <c r="AQ457" s="37"/>
      <c r="AR457" s="41" t="str">
        <f aca="true">IF(OR(A457="",P457=""),"",IF(AO457&lt;&gt;"",AO457-P457,TODAY()-P457))</f>
        <v/>
      </c>
      <c r="AS457" s="37"/>
    </row>
    <row r="458" customFormat="false" ht="21.75" hidden="false" customHeight="true" outlineLevel="0" collapsed="false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3" t="str">
        <f aca="false">IF(A458="","",SUM(Y458:AE458))</f>
        <v/>
      </c>
      <c r="AG458" s="43" t="str">
        <f aca="false">IF(AF458="","",ROUND(AF458*1.2/100,0)*100)</f>
        <v/>
      </c>
      <c r="AH458" s="43"/>
      <c r="AI458" s="43" t="str">
        <f aca="false">IF(AF458="","",ROUND(AF458*1.05/100,0)*100)</f>
        <v/>
      </c>
      <c r="AJ458" s="43" t="str">
        <f aca="false">IF(OR(AH458="",AF458=""),"",AH458-AF458)</f>
        <v/>
      </c>
      <c r="AK458" s="44" t="str">
        <f aca="false">IF(OR(AF458="",AF458=0),"",AJ458/AF458)</f>
        <v/>
      </c>
      <c r="AL458" s="43" t="str">
        <f aca="false">IF(AJ458="","",AJ458-AM458)</f>
        <v/>
      </c>
      <c r="AM458" s="45" t="str">
        <f aca="false">IF(OR(AH458="",AF458=""),"",ROUND((AH458-AF458)/1.2*0.2,2))</f>
        <v/>
      </c>
      <c r="AN458" s="44" t="str">
        <f aca="false">IF(OR(AF458="",AF458=0),"",AL458/AF458)</f>
        <v/>
      </c>
      <c r="AO458" s="42"/>
      <c r="AP458" s="42"/>
      <c r="AQ458" s="42"/>
      <c r="AR458" s="46" t="str">
        <f aca="true">IF(OR(A458="",P458=""),"",IF(AO458&lt;&gt;"",AO458-P458,TODAY()-P458))</f>
        <v/>
      </c>
      <c r="AS458" s="42"/>
    </row>
    <row r="459" customFormat="false" ht="21.75" hidden="false" customHeight="true" outlineLevel="0" collapsed="false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8" t="str">
        <f aca="false">IF(A459="","",SUM(Y459:AE459))</f>
        <v/>
      </c>
      <c r="AG459" s="38" t="str">
        <f aca="false">IF(AF459="","",ROUND(AF459*1.2/100,0)*100)</f>
        <v/>
      </c>
      <c r="AH459" s="38"/>
      <c r="AI459" s="38" t="str">
        <f aca="false">IF(AF459="","",ROUND(AF459*1.05/100,0)*100)</f>
        <v/>
      </c>
      <c r="AJ459" s="38" t="str">
        <f aca="false">IF(OR(AH459="",AF459=""),"",AH459-AF459)</f>
        <v/>
      </c>
      <c r="AK459" s="39" t="str">
        <f aca="false">IF(OR(AF459="",AF459=0),"",AJ459/AF459)</f>
        <v/>
      </c>
      <c r="AL459" s="38" t="str">
        <f aca="false">IF(AJ459="","",AJ459-AM459)</f>
        <v/>
      </c>
      <c r="AM459" s="40" t="str">
        <f aca="false">IF(OR(AH459="",AF459=""),"",ROUND((AH459-AF459)/1.2*0.2,2))</f>
        <v/>
      </c>
      <c r="AN459" s="39" t="str">
        <f aca="false">IF(OR(AF459="",AF459=0),"",AL459/AF459)</f>
        <v/>
      </c>
      <c r="AO459" s="37"/>
      <c r="AP459" s="37"/>
      <c r="AQ459" s="37"/>
      <c r="AR459" s="41" t="str">
        <f aca="true">IF(OR(A459="",P459=""),"",IF(AO459&lt;&gt;"",AO459-P459,TODAY()-P459))</f>
        <v/>
      </c>
      <c r="AS459" s="37"/>
    </row>
    <row r="460" customFormat="false" ht="21.75" hidden="false" customHeight="true" outlineLevel="0" collapsed="false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3" t="str">
        <f aca="false">IF(A460="","",SUM(Y460:AE460))</f>
        <v/>
      </c>
      <c r="AG460" s="43" t="str">
        <f aca="false">IF(AF460="","",ROUND(AF460*1.2/100,0)*100)</f>
        <v/>
      </c>
      <c r="AH460" s="43"/>
      <c r="AI460" s="43" t="str">
        <f aca="false">IF(AF460="","",ROUND(AF460*1.05/100,0)*100)</f>
        <v/>
      </c>
      <c r="AJ460" s="43" t="str">
        <f aca="false">IF(OR(AH460="",AF460=""),"",AH460-AF460)</f>
        <v/>
      </c>
      <c r="AK460" s="44" t="str">
        <f aca="false">IF(OR(AF460="",AF460=0),"",AJ460/AF460)</f>
        <v/>
      </c>
      <c r="AL460" s="43" t="str">
        <f aca="false">IF(AJ460="","",AJ460-AM460)</f>
        <v/>
      </c>
      <c r="AM460" s="45" t="str">
        <f aca="false">IF(OR(AH460="",AF460=""),"",ROUND((AH460-AF460)/1.2*0.2,2))</f>
        <v/>
      </c>
      <c r="AN460" s="44" t="str">
        <f aca="false">IF(OR(AF460="",AF460=0),"",AL460/AF460)</f>
        <v/>
      </c>
      <c r="AO460" s="42"/>
      <c r="AP460" s="42"/>
      <c r="AQ460" s="42"/>
      <c r="AR460" s="46" t="str">
        <f aca="true">IF(OR(A460="",P460=""),"",IF(AO460&lt;&gt;"",AO460-P460,TODAY()-P460))</f>
        <v/>
      </c>
      <c r="AS460" s="42"/>
    </row>
    <row r="461" customFormat="false" ht="21.75" hidden="false" customHeight="true" outlineLevel="0" collapsed="false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8" t="str">
        <f aca="false">IF(A461="","",SUM(Y461:AE461))</f>
        <v/>
      </c>
      <c r="AG461" s="38" t="str">
        <f aca="false">IF(AF461="","",ROUND(AF461*1.2/100,0)*100)</f>
        <v/>
      </c>
      <c r="AH461" s="38"/>
      <c r="AI461" s="38" t="str">
        <f aca="false">IF(AF461="","",ROUND(AF461*1.05/100,0)*100)</f>
        <v/>
      </c>
      <c r="AJ461" s="38" t="str">
        <f aca="false">IF(OR(AH461="",AF461=""),"",AH461-AF461)</f>
        <v/>
      </c>
      <c r="AK461" s="39" t="str">
        <f aca="false">IF(OR(AF461="",AF461=0),"",AJ461/AF461)</f>
        <v/>
      </c>
      <c r="AL461" s="38" t="str">
        <f aca="false">IF(AJ461="","",AJ461-AM461)</f>
        <v/>
      </c>
      <c r="AM461" s="40" t="str">
        <f aca="false">IF(OR(AH461="",AF461=""),"",ROUND((AH461-AF461)/1.2*0.2,2))</f>
        <v/>
      </c>
      <c r="AN461" s="39" t="str">
        <f aca="false">IF(OR(AF461="",AF461=0),"",AL461/AF461)</f>
        <v/>
      </c>
      <c r="AO461" s="37"/>
      <c r="AP461" s="37"/>
      <c r="AQ461" s="37"/>
      <c r="AR461" s="41" t="str">
        <f aca="true">IF(OR(A461="",P461=""),"",IF(AO461&lt;&gt;"",AO461-P461,TODAY()-P461))</f>
        <v/>
      </c>
      <c r="AS461" s="37"/>
    </row>
    <row r="462" customFormat="false" ht="21.75" hidden="false" customHeight="true" outlineLevel="0" collapsed="false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3" t="str">
        <f aca="false">IF(A462="","",SUM(Y462:AE462))</f>
        <v/>
      </c>
      <c r="AG462" s="43" t="str">
        <f aca="false">IF(AF462="","",ROUND(AF462*1.2/100,0)*100)</f>
        <v/>
      </c>
      <c r="AH462" s="43"/>
      <c r="AI462" s="43" t="str">
        <f aca="false">IF(AF462="","",ROUND(AF462*1.05/100,0)*100)</f>
        <v/>
      </c>
      <c r="AJ462" s="43" t="str">
        <f aca="false">IF(OR(AH462="",AF462=""),"",AH462-AF462)</f>
        <v/>
      </c>
      <c r="AK462" s="44" t="str">
        <f aca="false">IF(OR(AF462="",AF462=0),"",AJ462/AF462)</f>
        <v/>
      </c>
      <c r="AL462" s="43" t="str">
        <f aca="false">IF(AJ462="","",AJ462-AM462)</f>
        <v/>
      </c>
      <c r="AM462" s="45" t="str">
        <f aca="false">IF(OR(AH462="",AF462=""),"",ROUND((AH462-AF462)/1.2*0.2,2))</f>
        <v/>
      </c>
      <c r="AN462" s="44" t="str">
        <f aca="false">IF(OR(AF462="",AF462=0),"",AL462/AF462)</f>
        <v/>
      </c>
      <c r="AO462" s="42"/>
      <c r="AP462" s="42"/>
      <c r="AQ462" s="42"/>
      <c r="AR462" s="46" t="str">
        <f aca="true">IF(OR(A462="",P462=""),"",IF(AO462&lt;&gt;"",AO462-P462,TODAY()-P462))</f>
        <v/>
      </c>
      <c r="AS462" s="42"/>
    </row>
    <row r="463" customFormat="false" ht="21.75" hidden="false" customHeight="true" outlineLevel="0" collapsed="false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8" t="str">
        <f aca="false">IF(A463="","",SUM(Y463:AE463))</f>
        <v/>
      </c>
      <c r="AG463" s="38" t="str">
        <f aca="false">IF(AF463="","",ROUND(AF463*1.2/100,0)*100)</f>
        <v/>
      </c>
      <c r="AH463" s="38"/>
      <c r="AI463" s="38" t="str">
        <f aca="false">IF(AF463="","",ROUND(AF463*1.05/100,0)*100)</f>
        <v/>
      </c>
      <c r="AJ463" s="38" t="str">
        <f aca="false">IF(OR(AH463="",AF463=""),"",AH463-AF463)</f>
        <v/>
      </c>
      <c r="AK463" s="39" t="str">
        <f aca="false">IF(OR(AF463="",AF463=0),"",AJ463/AF463)</f>
        <v/>
      </c>
      <c r="AL463" s="38" t="str">
        <f aca="false">IF(AJ463="","",AJ463-AM463)</f>
        <v/>
      </c>
      <c r="AM463" s="40" t="str">
        <f aca="false">IF(OR(AH463="",AF463=""),"",ROUND((AH463-AF463)/1.2*0.2,2))</f>
        <v/>
      </c>
      <c r="AN463" s="39" t="str">
        <f aca="false">IF(OR(AF463="",AF463=0),"",AL463/AF463)</f>
        <v/>
      </c>
      <c r="AO463" s="37"/>
      <c r="AP463" s="37"/>
      <c r="AQ463" s="37"/>
      <c r="AR463" s="41" t="str">
        <f aca="true">IF(OR(A463="",P463=""),"",IF(AO463&lt;&gt;"",AO463-P463,TODAY()-P463))</f>
        <v/>
      </c>
      <c r="AS463" s="37"/>
    </row>
    <row r="464" customFormat="false" ht="21.75" hidden="false" customHeight="true" outlineLevel="0" collapsed="false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3" t="str">
        <f aca="false">IF(A464="","",SUM(Y464:AE464))</f>
        <v/>
      </c>
      <c r="AG464" s="43" t="str">
        <f aca="false">IF(AF464="","",ROUND(AF464*1.2/100,0)*100)</f>
        <v/>
      </c>
      <c r="AH464" s="43"/>
      <c r="AI464" s="43" t="str">
        <f aca="false">IF(AF464="","",ROUND(AF464*1.05/100,0)*100)</f>
        <v/>
      </c>
      <c r="AJ464" s="43" t="str">
        <f aca="false">IF(OR(AH464="",AF464=""),"",AH464-AF464)</f>
        <v/>
      </c>
      <c r="AK464" s="44" t="str">
        <f aca="false">IF(OR(AF464="",AF464=0),"",AJ464/AF464)</f>
        <v/>
      </c>
      <c r="AL464" s="43" t="str">
        <f aca="false">IF(AJ464="","",AJ464-AM464)</f>
        <v/>
      </c>
      <c r="AM464" s="45" t="str">
        <f aca="false">IF(OR(AH464="",AF464=""),"",ROUND((AH464-AF464)/1.2*0.2,2))</f>
        <v/>
      </c>
      <c r="AN464" s="44" t="str">
        <f aca="false">IF(OR(AF464="",AF464=0),"",AL464/AF464)</f>
        <v/>
      </c>
      <c r="AO464" s="42"/>
      <c r="AP464" s="42"/>
      <c r="AQ464" s="42"/>
      <c r="AR464" s="46" t="str">
        <f aca="true">IF(OR(A464="",P464=""),"",IF(AO464&lt;&gt;"",AO464-P464,TODAY()-P464))</f>
        <v/>
      </c>
      <c r="AS464" s="42"/>
    </row>
    <row r="465" customFormat="false" ht="21.75" hidden="false" customHeight="true" outlineLevel="0" collapsed="false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8" t="str">
        <f aca="false">IF(A465="","",SUM(Y465:AE465))</f>
        <v/>
      </c>
      <c r="AG465" s="38" t="str">
        <f aca="false">IF(AF465="","",ROUND(AF465*1.2/100,0)*100)</f>
        <v/>
      </c>
      <c r="AH465" s="38"/>
      <c r="AI465" s="38" t="str">
        <f aca="false">IF(AF465="","",ROUND(AF465*1.05/100,0)*100)</f>
        <v/>
      </c>
      <c r="AJ465" s="38" t="str">
        <f aca="false">IF(OR(AH465="",AF465=""),"",AH465-AF465)</f>
        <v/>
      </c>
      <c r="AK465" s="39" t="str">
        <f aca="false">IF(OR(AF465="",AF465=0),"",AJ465/AF465)</f>
        <v/>
      </c>
      <c r="AL465" s="38" t="str">
        <f aca="false">IF(AJ465="","",AJ465-AM465)</f>
        <v/>
      </c>
      <c r="AM465" s="40" t="str">
        <f aca="false">IF(OR(AH465="",AF465=""),"",ROUND((AH465-AF465)/1.2*0.2,2))</f>
        <v/>
      </c>
      <c r="AN465" s="39" t="str">
        <f aca="false">IF(OR(AF465="",AF465=0),"",AL465/AF465)</f>
        <v/>
      </c>
      <c r="AO465" s="37"/>
      <c r="AP465" s="37"/>
      <c r="AQ465" s="37"/>
      <c r="AR465" s="41" t="str">
        <f aca="true">IF(OR(A465="",P465=""),"",IF(AO465&lt;&gt;"",AO465-P465,TODAY()-P465))</f>
        <v/>
      </c>
      <c r="AS465" s="37"/>
    </row>
    <row r="466" customFormat="false" ht="21.75" hidden="false" customHeight="true" outlineLevel="0" collapsed="false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3" t="str">
        <f aca="false">IF(A466="","",SUM(Y466:AE466))</f>
        <v/>
      </c>
      <c r="AG466" s="43" t="str">
        <f aca="false">IF(AF466="","",ROUND(AF466*1.2/100,0)*100)</f>
        <v/>
      </c>
      <c r="AH466" s="43"/>
      <c r="AI466" s="43" t="str">
        <f aca="false">IF(AF466="","",ROUND(AF466*1.05/100,0)*100)</f>
        <v/>
      </c>
      <c r="AJ466" s="43" t="str">
        <f aca="false">IF(OR(AH466="",AF466=""),"",AH466-AF466)</f>
        <v/>
      </c>
      <c r="AK466" s="44" t="str">
        <f aca="false">IF(OR(AF466="",AF466=0),"",AJ466/AF466)</f>
        <v/>
      </c>
      <c r="AL466" s="43" t="str">
        <f aca="false">IF(AJ466="","",AJ466-AM466)</f>
        <v/>
      </c>
      <c r="AM466" s="45" t="str">
        <f aca="false">IF(OR(AH466="",AF466=""),"",ROUND((AH466-AF466)/1.2*0.2,2))</f>
        <v/>
      </c>
      <c r="AN466" s="44" t="str">
        <f aca="false">IF(OR(AF466="",AF466=0),"",AL466/AF466)</f>
        <v/>
      </c>
      <c r="AO466" s="42"/>
      <c r="AP466" s="42"/>
      <c r="AQ466" s="42"/>
      <c r="AR466" s="46" t="str">
        <f aca="true">IF(OR(A466="",P466=""),"",IF(AO466&lt;&gt;"",AO466-P466,TODAY()-P466))</f>
        <v/>
      </c>
      <c r="AS466" s="42"/>
    </row>
    <row r="467" customFormat="false" ht="21.75" hidden="false" customHeight="true" outlineLevel="0" collapsed="false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8" t="str">
        <f aca="false">IF(A467="","",SUM(Y467:AE467))</f>
        <v/>
      </c>
      <c r="AG467" s="38" t="str">
        <f aca="false">IF(AF467="","",ROUND(AF467*1.2/100,0)*100)</f>
        <v/>
      </c>
      <c r="AH467" s="38"/>
      <c r="AI467" s="38" t="str">
        <f aca="false">IF(AF467="","",ROUND(AF467*1.05/100,0)*100)</f>
        <v/>
      </c>
      <c r="AJ467" s="38" t="str">
        <f aca="false">IF(OR(AH467="",AF467=""),"",AH467-AF467)</f>
        <v/>
      </c>
      <c r="AK467" s="39" t="str">
        <f aca="false">IF(OR(AF467="",AF467=0),"",AJ467/AF467)</f>
        <v/>
      </c>
      <c r="AL467" s="38" t="str">
        <f aca="false">IF(AJ467="","",AJ467-AM467)</f>
        <v/>
      </c>
      <c r="AM467" s="40" t="str">
        <f aca="false">IF(OR(AH467="",AF467=""),"",ROUND((AH467-AF467)/1.2*0.2,2))</f>
        <v/>
      </c>
      <c r="AN467" s="39" t="str">
        <f aca="false">IF(OR(AF467="",AF467=0),"",AL467/AF467)</f>
        <v/>
      </c>
      <c r="AO467" s="37"/>
      <c r="AP467" s="37"/>
      <c r="AQ467" s="37"/>
      <c r="AR467" s="41" t="str">
        <f aca="true">IF(OR(A467="",P467=""),"",IF(AO467&lt;&gt;"",AO467-P467,TODAY()-P467))</f>
        <v/>
      </c>
      <c r="AS467" s="37"/>
    </row>
    <row r="468" customFormat="false" ht="21.75" hidden="false" customHeight="true" outlineLevel="0" collapsed="false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3" t="str">
        <f aca="false">IF(A468="","",SUM(Y468:AE468))</f>
        <v/>
      </c>
      <c r="AG468" s="43" t="str">
        <f aca="false">IF(AF468="","",ROUND(AF468*1.2/100,0)*100)</f>
        <v/>
      </c>
      <c r="AH468" s="43"/>
      <c r="AI468" s="43" t="str">
        <f aca="false">IF(AF468="","",ROUND(AF468*1.05/100,0)*100)</f>
        <v/>
      </c>
      <c r="AJ468" s="43" t="str">
        <f aca="false">IF(OR(AH468="",AF468=""),"",AH468-AF468)</f>
        <v/>
      </c>
      <c r="AK468" s="44" t="str">
        <f aca="false">IF(OR(AF468="",AF468=0),"",AJ468/AF468)</f>
        <v/>
      </c>
      <c r="AL468" s="43" t="str">
        <f aca="false">IF(AJ468="","",AJ468-AM468)</f>
        <v/>
      </c>
      <c r="AM468" s="45" t="str">
        <f aca="false">IF(OR(AH468="",AF468=""),"",ROUND((AH468-AF468)/1.2*0.2,2))</f>
        <v/>
      </c>
      <c r="AN468" s="44" t="str">
        <f aca="false">IF(OR(AF468="",AF468=0),"",AL468/AF468)</f>
        <v/>
      </c>
      <c r="AO468" s="42"/>
      <c r="AP468" s="42"/>
      <c r="AQ468" s="42"/>
      <c r="AR468" s="46" t="str">
        <f aca="true">IF(OR(A468="",P468=""),"",IF(AO468&lt;&gt;"",AO468-P468,TODAY()-P468))</f>
        <v/>
      </c>
      <c r="AS468" s="42"/>
    </row>
    <row r="469" customFormat="false" ht="21.75" hidden="false" customHeight="true" outlineLevel="0" collapsed="false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8" t="str">
        <f aca="false">IF(A469="","",SUM(Y469:AE469))</f>
        <v/>
      </c>
      <c r="AG469" s="38" t="str">
        <f aca="false">IF(AF469="","",ROUND(AF469*1.2/100,0)*100)</f>
        <v/>
      </c>
      <c r="AH469" s="38"/>
      <c r="AI469" s="38" t="str">
        <f aca="false">IF(AF469="","",ROUND(AF469*1.05/100,0)*100)</f>
        <v/>
      </c>
      <c r="AJ469" s="38" t="str">
        <f aca="false">IF(OR(AH469="",AF469=""),"",AH469-AF469)</f>
        <v/>
      </c>
      <c r="AK469" s="39" t="str">
        <f aca="false">IF(OR(AF469="",AF469=0),"",AJ469/AF469)</f>
        <v/>
      </c>
      <c r="AL469" s="38" t="str">
        <f aca="false">IF(AJ469="","",AJ469-AM469)</f>
        <v/>
      </c>
      <c r="AM469" s="40" t="str">
        <f aca="false">IF(OR(AH469="",AF469=""),"",ROUND((AH469-AF469)/1.2*0.2,2))</f>
        <v/>
      </c>
      <c r="AN469" s="39" t="str">
        <f aca="false">IF(OR(AF469="",AF469=0),"",AL469/AF469)</f>
        <v/>
      </c>
      <c r="AO469" s="37"/>
      <c r="AP469" s="37"/>
      <c r="AQ469" s="37"/>
      <c r="AR469" s="41" t="str">
        <f aca="true">IF(OR(A469="",P469=""),"",IF(AO469&lt;&gt;"",AO469-P469,TODAY()-P469))</f>
        <v/>
      </c>
      <c r="AS469" s="37"/>
    </row>
    <row r="470" customFormat="false" ht="21.75" hidden="false" customHeight="true" outlineLevel="0" collapsed="false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3" t="str">
        <f aca="false">IF(A470="","",SUM(Y470:AE470))</f>
        <v/>
      </c>
      <c r="AG470" s="43" t="str">
        <f aca="false">IF(AF470="","",ROUND(AF470*1.2/100,0)*100)</f>
        <v/>
      </c>
      <c r="AH470" s="43"/>
      <c r="AI470" s="43" t="str">
        <f aca="false">IF(AF470="","",ROUND(AF470*1.05/100,0)*100)</f>
        <v/>
      </c>
      <c r="AJ470" s="43" t="str">
        <f aca="false">IF(OR(AH470="",AF470=""),"",AH470-AF470)</f>
        <v/>
      </c>
      <c r="AK470" s="44" t="str">
        <f aca="false">IF(OR(AF470="",AF470=0),"",AJ470/AF470)</f>
        <v/>
      </c>
      <c r="AL470" s="43" t="str">
        <f aca="false">IF(AJ470="","",AJ470-AM470)</f>
        <v/>
      </c>
      <c r="AM470" s="45" t="str">
        <f aca="false">IF(OR(AH470="",AF470=""),"",ROUND((AH470-AF470)/1.2*0.2,2))</f>
        <v/>
      </c>
      <c r="AN470" s="44" t="str">
        <f aca="false">IF(OR(AF470="",AF470=0),"",AL470/AF470)</f>
        <v/>
      </c>
      <c r="AO470" s="42"/>
      <c r="AP470" s="42"/>
      <c r="AQ470" s="42"/>
      <c r="AR470" s="46" t="str">
        <f aca="true">IF(OR(A470="",P470=""),"",IF(AO470&lt;&gt;"",AO470-P470,TODAY()-P470))</f>
        <v/>
      </c>
      <c r="AS470" s="42"/>
    </row>
    <row r="471" customFormat="false" ht="21.75" hidden="false" customHeight="true" outlineLevel="0" collapsed="false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8" t="str">
        <f aca="false">IF(A471="","",SUM(Y471:AE471))</f>
        <v/>
      </c>
      <c r="AG471" s="38" t="str">
        <f aca="false">IF(AF471="","",ROUND(AF471*1.2/100,0)*100)</f>
        <v/>
      </c>
      <c r="AH471" s="38"/>
      <c r="AI471" s="38" t="str">
        <f aca="false">IF(AF471="","",ROUND(AF471*1.05/100,0)*100)</f>
        <v/>
      </c>
      <c r="AJ471" s="38" t="str">
        <f aca="false">IF(OR(AH471="",AF471=""),"",AH471-AF471)</f>
        <v/>
      </c>
      <c r="AK471" s="39" t="str">
        <f aca="false">IF(OR(AF471="",AF471=0),"",AJ471/AF471)</f>
        <v/>
      </c>
      <c r="AL471" s="38" t="str">
        <f aca="false">IF(AJ471="","",AJ471-AM471)</f>
        <v/>
      </c>
      <c r="AM471" s="40" t="str">
        <f aca="false">IF(OR(AH471="",AF471=""),"",ROUND((AH471-AF471)/1.2*0.2,2))</f>
        <v/>
      </c>
      <c r="AN471" s="39" t="str">
        <f aca="false">IF(OR(AF471="",AF471=0),"",AL471/AF471)</f>
        <v/>
      </c>
      <c r="AO471" s="37"/>
      <c r="AP471" s="37"/>
      <c r="AQ471" s="37"/>
      <c r="AR471" s="41" t="str">
        <f aca="true">IF(OR(A471="",P471=""),"",IF(AO471&lt;&gt;"",AO471-P471,TODAY()-P471))</f>
        <v/>
      </c>
      <c r="AS471" s="37"/>
    </row>
    <row r="472" customFormat="false" ht="21.75" hidden="false" customHeight="true" outlineLevel="0" collapsed="false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3" t="str">
        <f aca="false">IF(A472="","",SUM(Y472:AE472))</f>
        <v/>
      </c>
      <c r="AG472" s="43" t="str">
        <f aca="false">IF(AF472="","",ROUND(AF472*1.2/100,0)*100)</f>
        <v/>
      </c>
      <c r="AH472" s="43"/>
      <c r="AI472" s="43" t="str">
        <f aca="false">IF(AF472="","",ROUND(AF472*1.05/100,0)*100)</f>
        <v/>
      </c>
      <c r="AJ472" s="43" t="str">
        <f aca="false">IF(OR(AH472="",AF472=""),"",AH472-AF472)</f>
        <v/>
      </c>
      <c r="AK472" s="44" t="str">
        <f aca="false">IF(OR(AF472="",AF472=0),"",AJ472/AF472)</f>
        <v/>
      </c>
      <c r="AL472" s="43" t="str">
        <f aca="false">IF(AJ472="","",AJ472-AM472)</f>
        <v/>
      </c>
      <c r="AM472" s="45" t="str">
        <f aca="false">IF(OR(AH472="",AF472=""),"",ROUND((AH472-AF472)/1.2*0.2,2))</f>
        <v/>
      </c>
      <c r="AN472" s="44" t="str">
        <f aca="false">IF(OR(AF472="",AF472=0),"",AL472/AF472)</f>
        <v/>
      </c>
      <c r="AO472" s="42"/>
      <c r="AP472" s="42"/>
      <c r="AQ472" s="42"/>
      <c r="AR472" s="46" t="str">
        <f aca="true">IF(OR(A472="",P472=""),"",IF(AO472&lt;&gt;"",AO472-P472,TODAY()-P472))</f>
        <v/>
      </c>
      <c r="AS472" s="42"/>
    </row>
    <row r="473" customFormat="false" ht="21.75" hidden="false" customHeight="true" outlineLevel="0" collapsed="false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8" t="str">
        <f aca="false">IF(A473="","",SUM(Y473:AE473))</f>
        <v/>
      </c>
      <c r="AG473" s="38" t="str">
        <f aca="false">IF(AF473="","",ROUND(AF473*1.2/100,0)*100)</f>
        <v/>
      </c>
      <c r="AH473" s="38"/>
      <c r="AI473" s="38" t="str">
        <f aca="false">IF(AF473="","",ROUND(AF473*1.05/100,0)*100)</f>
        <v/>
      </c>
      <c r="AJ473" s="38" t="str">
        <f aca="false">IF(OR(AH473="",AF473=""),"",AH473-AF473)</f>
        <v/>
      </c>
      <c r="AK473" s="39" t="str">
        <f aca="false">IF(OR(AF473="",AF473=0),"",AJ473/AF473)</f>
        <v/>
      </c>
      <c r="AL473" s="38" t="str">
        <f aca="false">IF(AJ473="","",AJ473-AM473)</f>
        <v/>
      </c>
      <c r="AM473" s="40" t="str">
        <f aca="false">IF(OR(AH473="",AF473=""),"",ROUND((AH473-AF473)/1.2*0.2,2))</f>
        <v/>
      </c>
      <c r="AN473" s="39" t="str">
        <f aca="false">IF(OR(AF473="",AF473=0),"",AL473/AF473)</f>
        <v/>
      </c>
      <c r="AO473" s="37"/>
      <c r="AP473" s="37"/>
      <c r="AQ473" s="37"/>
      <c r="AR473" s="41" t="str">
        <f aca="true">IF(OR(A473="",P473=""),"",IF(AO473&lt;&gt;"",AO473-P473,TODAY()-P473))</f>
        <v/>
      </c>
      <c r="AS473" s="37"/>
    </row>
    <row r="474" customFormat="false" ht="21.75" hidden="false" customHeight="true" outlineLevel="0" collapsed="false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3" t="str">
        <f aca="false">IF(A474="","",SUM(Y474:AE474))</f>
        <v/>
      </c>
      <c r="AG474" s="43" t="str">
        <f aca="false">IF(AF474="","",ROUND(AF474*1.2/100,0)*100)</f>
        <v/>
      </c>
      <c r="AH474" s="43"/>
      <c r="AI474" s="43" t="str">
        <f aca="false">IF(AF474="","",ROUND(AF474*1.05/100,0)*100)</f>
        <v/>
      </c>
      <c r="AJ474" s="43" t="str">
        <f aca="false">IF(OR(AH474="",AF474=""),"",AH474-AF474)</f>
        <v/>
      </c>
      <c r="AK474" s="44" t="str">
        <f aca="false">IF(OR(AF474="",AF474=0),"",AJ474/AF474)</f>
        <v/>
      </c>
      <c r="AL474" s="43" t="str">
        <f aca="false">IF(AJ474="","",AJ474-AM474)</f>
        <v/>
      </c>
      <c r="AM474" s="45" t="str">
        <f aca="false">IF(OR(AH474="",AF474=""),"",ROUND((AH474-AF474)/1.2*0.2,2))</f>
        <v/>
      </c>
      <c r="AN474" s="44" t="str">
        <f aca="false">IF(OR(AF474="",AF474=0),"",AL474/AF474)</f>
        <v/>
      </c>
      <c r="AO474" s="42"/>
      <c r="AP474" s="42"/>
      <c r="AQ474" s="42"/>
      <c r="AR474" s="46" t="str">
        <f aca="true">IF(OR(A474="",P474=""),"",IF(AO474&lt;&gt;"",AO474-P474,TODAY()-P474))</f>
        <v/>
      </c>
      <c r="AS474" s="42"/>
    </row>
    <row r="475" customFormat="false" ht="21.75" hidden="false" customHeight="true" outlineLevel="0" collapsed="false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8" t="str">
        <f aca="false">IF(A475="","",SUM(Y475:AE475))</f>
        <v/>
      </c>
      <c r="AG475" s="38" t="str">
        <f aca="false">IF(AF475="","",ROUND(AF475*1.2/100,0)*100)</f>
        <v/>
      </c>
      <c r="AH475" s="38"/>
      <c r="AI475" s="38" t="str">
        <f aca="false">IF(AF475="","",ROUND(AF475*1.05/100,0)*100)</f>
        <v/>
      </c>
      <c r="AJ475" s="38" t="str">
        <f aca="false">IF(OR(AH475="",AF475=""),"",AH475-AF475)</f>
        <v/>
      </c>
      <c r="AK475" s="39" t="str">
        <f aca="false">IF(OR(AF475="",AF475=0),"",AJ475/AF475)</f>
        <v/>
      </c>
      <c r="AL475" s="38" t="str">
        <f aca="false">IF(AJ475="","",AJ475-AM475)</f>
        <v/>
      </c>
      <c r="AM475" s="40" t="str">
        <f aca="false">IF(OR(AH475="",AF475=""),"",ROUND((AH475-AF475)/1.2*0.2,2))</f>
        <v/>
      </c>
      <c r="AN475" s="39" t="str">
        <f aca="false">IF(OR(AF475="",AF475=0),"",AL475/AF475)</f>
        <v/>
      </c>
      <c r="AO475" s="37"/>
      <c r="AP475" s="37"/>
      <c r="AQ475" s="37"/>
      <c r="AR475" s="41" t="str">
        <f aca="true">IF(OR(A475="",P475=""),"",IF(AO475&lt;&gt;"",AO475-P475,TODAY()-P475))</f>
        <v/>
      </c>
      <c r="AS475" s="37"/>
    </row>
    <row r="476" customFormat="false" ht="21.75" hidden="false" customHeight="true" outlineLevel="0" collapsed="false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3" t="str">
        <f aca="false">IF(A476="","",SUM(Y476:AE476))</f>
        <v/>
      </c>
      <c r="AG476" s="43" t="str">
        <f aca="false">IF(AF476="","",ROUND(AF476*1.2/100,0)*100)</f>
        <v/>
      </c>
      <c r="AH476" s="43"/>
      <c r="AI476" s="43" t="str">
        <f aca="false">IF(AF476="","",ROUND(AF476*1.05/100,0)*100)</f>
        <v/>
      </c>
      <c r="AJ476" s="43" t="str">
        <f aca="false">IF(OR(AH476="",AF476=""),"",AH476-AF476)</f>
        <v/>
      </c>
      <c r="AK476" s="44" t="str">
        <f aca="false">IF(OR(AF476="",AF476=0),"",AJ476/AF476)</f>
        <v/>
      </c>
      <c r="AL476" s="43" t="str">
        <f aca="false">IF(AJ476="","",AJ476-AM476)</f>
        <v/>
      </c>
      <c r="AM476" s="45" t="str">
        <f aca="false">IF(OR(AH476="",AF476=""),"",ROUND((AH476-AF476)/1.2*0.2,2))</f>
        <v/>
      </c>
      <c r="AN476" s="44" t="str">
        <f aca="false">IF(OR(AF476="",AF476=0),"",AL476/AF476)</f>
        <v/>
      </c>
      <c r="AO476" s="42"/>
      <c r="AP476" s="42"/>
      <c r="AQ476" s="42"/>
      <c r="AR476" s="46" t="str">
        <f aca="true">IF(OR(A476="",P476=""),"",IF(AO476&lt;&gt;"",AO476-P476,TODAY()-P476))</f>
        <v/>
      </c>
      <c r="AS476" s="42"/>
    </row>
    <row r="477" customFormat="false" ht="21.75" hidden="false" customHeight="true" outlineLevel="0" collapsed="false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8" t="str">
        <f aca="false">IF(A477="","",SUM(Y477:AE477))</f>
        <v/>
      </c>
      <c r="AG477" s="38" t="str">
        <f aca="false">IF(AF477="","",ROUND(AF477*1.2/100,0)*100)</f>
        <v/>
      </c>
      <c r="AH477" s="38"/>
      <c r="AI477" s="38" t="str">
        <f aca="false">IF(AF477="","",ROUND(AF477*1.05/100,0)*100)</f>
        <v/>
      </c>
      <c r="AJ477" s="38" t="str">
        <f aca="false">IF(OR(AH477="",AF477=""),"",AH477-AF477)</f>
        <v/>
      </c>
      <c r="AK477" s="39" t="str">
        <f aca="false">IF(OR(AF477="",AF477=0),"",AJ477/AF477)</f>
        <v/>
      </c>
      <c r="AL477" s="38" t="str">
        <f aca="false">IF(AJ477="","",AJ477-AM477)</f>
        <v/>
      </c>
      <c r="AM477" s="40" t="str">
        <f aca="false">IF(OR(AH477="",AF477=""),"",ROUND((AH477-AF477)/1.2*0.2,2))</f>
        <v/>
      </c>
      <c r="AN477" s="39" t="str">
        <f aca="false">IF(OR(AF477="",AF477=0),"",AL477/AF477)</f>
        <v/>
      </c>
      <c r="AO477" s="37"/>
      <c r="AP477" s="37"/>
      <c r="AQ477" s="37"/>
      <c r="AR477" s="41" t="str">
        <f aca="true">IF(OR(A477="",P477=""),"",IF(AO477&lt;&gt;"",AO477-P477,TODAY()-P477))</f>
        <v/>
      </c>
      <c r="AS477" s="37"/>
    </row>
    <row r="478" customFormat="false" ht="21.75" hidden="false" customHeight="true" outlineLevel="0" collapsed="false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3" t="str">
        <f aca="false">IF(A478="","",SUM(Y478:AE478))</f>
        <v/>
      </c>
      <c r="AG478" s="43" t="str">
        <f aca="false">IF(AF478="","",ROUND(AF478*1.2/100,0)*100)</f>
        <v/>
      </c>
      <c r="AH478" s="43"/>
      <c r="AI478" s="43" t="str">
        <f aca="false">IF(AF478="","",ROUND(AF478*1.05/100,0)*100)</f>
        <v/>
      </c>
      <c r="AJ478" s="43" t="str">
        <f aca="false">IF(OR(AH478="",AF478=""),"",AH478-AF478)</f>
        <v/>
      </c>
      <c r="AK478" s="44" t="str">
        <f aca="false">IF(OR(AF478="",AF478=0),"",AJ478/AF478)</f>
        <v/>
      </c>
      <c r="AL478" s="43" t="str">
        <f aca="false">IF(AJ478="","",AJ478-AM478)</f>
        <v/>
      </c>
      <c r="AM478" s="45" t="str">
        <f aca="false">IF(OR(AH478="",AF478=""),"",ROUND((AH478-AF478)/1.2*0.2,2))</f>
        <v/>
      </c>
      <c r="AN478" s="44" t="str">
        <f aca="false">IF(OR(AF478="",AF478=0),"",AL478/AF478)</f>
        <v/>
      </c>
      <c r="AO478" s="42"/>
      <c r="AP478" s="42"/>
      <c r="AQ478" s="42"/>
      <c r="AR478" s="46" t="str">
        <f aca="true">IF(OR(A478="",P478=""),"",IF(AO478&lt;&gt;"",AO478-P478,TODAY()-P478))</f>
        <v/>
      </c>
      <c r="AS478" s="42"/>
    </row>
    <row r="479" customFormat="false" ht="21.75" hidden="false" customHeight="true" outlineLevel="0" collapsed="false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8" t="str">
        <f aca="false">IF(A479="","",SUM(Y479:AE479))</f>
        <v/>
      </c>
      <c r="AG479" s="38" t="str">
        <f aca="false">IF(AF479="","",ROUND(AF479*1.2/100,0)*100)</f>
        <v/>
      </c>
      <c r="AH479" s="38"/>
      <c r="AI479" s="38" t="str">
        <f aca="false">IF(AF479="","",ROUND(AF479*1.05/100,0)*100)</f>
        <v/>
      </c>
      <c r="AJ479" s="38" t="str">
        <f aca="false">IF(OR(AH479="",AF479=""),"",AH479-AF479)</f>
        <v/>
      </c>
      <c r="AK479" s="39" t="str">
        <f aca="false">IF(OR(AF479="",AF479=0),"",AJ479/AF479)</f>
        <v/>
      </c>
      <c r="AL479" s="38" t="str">
        <f aca="false">IF(AJ479="","",AJ479-AM479)</f>
        <v/>
      </c>
      <c r="AM479" s="40" t="str">
        <f aca="false">IF(OR(AH479="",AF479=""),"",ROUND((AH479-AF479)/1.2*0.2,2))</f>
        <v/>
      </c>
      <c r="AN479" s="39" t="str">
        <f aca="false">IF(OR(AF479="",AF479=0),"",AL479/AF479)</f>
        <v/>
      </c>
      <c r="AO479" s="37"/>
      <c r="AP479" s="37"/>
      <c r="AQ479" s="37"/>
      <c r="AR479" s="41" t="str">
        <f aca="true">IF(OR(A479="",P479=""),"",IF(AO479&lt;&gt;"",AO479-P479,TODAY()-P479))</f>
        <v/>
      </c>
      <c r="AS479" s="37"/>
    </row>
    <row r="480" customFormat="false" ht="21.75" hidden="false" customHeight="true" outlineLevel="0" collapsed="false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3" t="str">
        <f aca="false">IF(A480="","",SUM(Y480:AE480))</f>
        <v/>
      </c>
      <c r="AG480" s="43" t="str">
        <f aca="false">IF(AF480="","",ROUND(AF480*1.2/100,0)*100)</f>
        <v/>
      </c>
      <c r="AH480" s="43"/>
      <c r="AI480" s="43" t="str">
        <f aca="false">IF(AF480="","",ROUND(AF480*1.05/100,0)*100)</f>
        <v/>
      </c>
      <c r="AJ480" s="43" t="str">
        <f aca="false">IF(OR(AH480="",AF480=""),"",AH480-AF480)</f>
        <v/>
      </c>
      <c r="AK480" s="44" t="str">
        <f aca="false">IF(OR(AF480="",AF480=0),"",AJ480/AF480)</f>
        <v/>
      </c>
      <c r="AL480" s="43" t="str">
        <f aca="false">IF(AJ480="","",AJ480-AM480)</f>
        <v/>
      </c>
      <c r="AM480" s="45" t="str">
        <f aca="false">IF(OR(AH480="",AF480=""),"",ROUND((AH480-AF480)/1.2*0.2,2))</f>
        <v/>
      </c>
      <c r="AN480" s="44" t="str">
        <f aca="false">IF(OR(AF480="",AF480=0),"",AL480/AF480)</f>
        <v/>
      </c>
      <c r="AO480" s="42"/>
      <c r="AP480" s="42"/>
      <c r="AQ480" s="42"/>
      <c r="AR480" s="46" t="str">
        <f aca="true">IF(OR(A480="",P480=""),"",IF(AO480&lt;&gt;"",AO480-P480,TODAY()-P480))</f>
        <v/>
      </c>
      <c r="AS480" s="42"/>
    </row>
    <row r="481" customFormat="false" ht="21.75" hidden="false" customHeight="true" outlineLevel="0" collapsed="false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8" t="str">
        <f aca="false">IF(A481="","",SUM(Y481:AE481))</f>
        <v/>
      </c>
      <c r="AG481" s="38" t="str">
        <f aca="false">IF(AF481="","",ROUND(AF481*1.2/100,0)*100)</f>
        <v/>
      </c>
      <c r="AH481" s="38"/>
      <c r="AI481" s="38" t="str">
        <f aca="false">IF(AF481="","",ROUND(AF481*1.05/100,0)*100)</f>
        <v/>
      </c>
      <c r="AJ481" s="38" t="str">
        <f aca="false">IF(OR(AH481="",AF481=""),"",AH481-AF481)</f>
        <v/>
      </c>
      <c r="AK481" s="39" t="str">
        <f aca="false">IF(OR(AF481="",AF481=0),"",AJ481/AF481)</f>
        <v/>
      </c>
      <c r="AL481" s="38" t="str">
        <f aca="false">IF(AJ481="","",AJ481-AM481)</f>
        <v/>
      </c>
      <c r="AM481" s="40" t="str">
        <f aca="false">IF(OR(AH481="",AF481=""),"",ROUND((AH481-AF481)/1.2*0.2,2))</f>
        <v/>
      </c>
      <c r="AN481" s="39" t="str">
        <f aca="false">IF(OR(AF481="",AF481=0),"",AL481/AF481)</f>
        <v/>
      </c>
      <c r="AO481" s="37"/>
      <c r="AP481" s="37"/>
      <c r="AQ481" s="37"/>
      <c r="AR481" s="41" t="str">
        <f aca="true">IF(OR(A481="",P481=""),"",IF(AO481&lt;&gt;"",AO481-P481,TODAY()-P481))</f>
        <v/>
      </c>
      <c r="AS481" s="37"/>
    </row>
    <row r="482" customFormat="false" ht="21.75" hidden="false" customHeight="true" outlineLevel="0" collapsed="false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3" t="str">
        <f aca="false">IF(A482="","",SUM(Y482:AE482))</f>
        <v/>
      </c>
      <c r="AG482" s="43" t="str">
        <f aca="false">IF(AF482="","",ROUND(AF482*1.2/100,0)*100)</f>
        <v/>
      </c>
      <c r="AH482" s="43"/>
      <c r="AI482" s="43" t="str">
        <f aca="false">IF(AF482="","",ROUND(AF482*1.05/100,0)*100)</f>
        <v/>
      </c>
      <c r="AJ482" s="43" t="str">
        <f aca="false">IF(OR(AH482="",AF482=""),"",AH482-AF482)</f>
        <v/>
      </c>
      <c r="AK482" s="44" t="str">
        <f aca="false">IF(OR(AF482="",AF482=0),"",AJ482/AF482)</f>
        <v/>
      </c>
      <c r="AL482" s="43" t="str">
        <f aca="false">IF(AJ482="","",AJ482-AM482)</f>
        <v/>
      </c>
      <c r="AM482" s="45" t="str">
        <f aca="false">IF(OR(AH482="",AF482=""),"",ROUND((AH482-AF482)/1.2*0.2,2))</f>
        <v/>
      </c>
      <c r="AN482" s="44" t="str">
        <f aca="false">IF(OR(AF482="",AF482=0),"",AL482/AF482)</f>
        <v/>
      </c>
      <c r="AO482" s="42"/>
      <c r="AP482" s="42"/>
      <c r="AQ482" s="42"/>
      <c r="AR482" s="46" t="str">
        <f aca="true">IF(OR(A482="",P482=""),"",IF(AO482&lt;&gt;"",AO482-P482,TODAY()-P482))</f>
        <v/>
      </c>
      <c r="AS482" s="42"/>
    </row>
    <row r="483" customFormat="false" ht="21.75" hidden="false" customHeight="true" outlineLevel="0" collapsed="false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8" t="str">
        <f aca="false">IF(A483="","",SUM(Y483:AE483))</f>
        <v/>
      </c>
      <c r="AG483" s="38" t="str">
        <f aca="false">IF(AF483="","",ROUND(AF483*1.2/100,0)*100)</f>
        <v/>
      </c>
      <c r="AH483" s="38"/>
      <c r="AI483" s="38" t="str">
        <f aca="false">IF(AF483="","",ROUND(AF483*1.05/100,0)*100)</f>
        <v/>
      </c>
      <c r="AJ483" s="38" t="str">
        <f aca="false">IF(OR(AH483="",AF483=""),"",AH483-AF483)</f>
        <v/>
      </c>
      <c r="AK483" s="39" t="str">
        <f aca="false">IF(OR(AF483="",AF483=0),"",AJ483/AF483)</f>
        <v/>
      </c>
      <c r="AL483" s="38" t="str">
        <f aca="false">IF(AJ483="","",AJ483-AM483)</f>
        <v/>
      </c>
      <c r="AM483" s="40" t="str">
        <f aca="false">IF(OR(AH483="",AF483=""),"",ROUND((AH483-AF483)/1.2*0.2,2))</f>
        <v/>
      </c>
      <c r="AN483" s="39" t="str">
        <f aca="false">IF(OR(AF483="",AF483=0),"",AL483/AF483)</f>
        <v/>
      </c>
      <c r="AO483" s="37"/>
      <c r="AP483" s="37"/>
      <c r="AQ483" s="37"/>
      <c r="AR483" s="41" t="str">
        <f aca="true">IF(OR(A483="",P483=""),"",IF(AO483&lt;&gt;"",AO483-P483,TODAY()-P483))</f>
        <v/>
      </c>
      <c r="AS483" s="37"/>
    </row>
    <row r="484" customFormat="false" ht="21.75" hidden="false" customHeight="true" outlineLevel="0" collapsed="false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3" t="str">
        <f aca="false">IF(A484="","",SUM(Y484:AE484))</f>
        <v/>
      </c>
      <c r="AG484" s="43" t="str">
        <f aca="false">IF(AF484="","",ROUND(AF484*1.2/100,0)*100)</f>
        <v/>
      </c>
      <c r="AH484" s="43"/>
      <c r="AI484" s="43" t="str">
        <f aca="false">IF(AF484="","",ROUND(AF484*1.05/100,0)*100)</f>
        <v/>
      </c>
      <c r="AJ484" s="43" t="str">
        <f aca="false">IF(OR(AH484="",AF484=""),"",AH484-AF484)</f>
        <v/>
      </c>
      <c r="AK484" s="44" t="str">
        <f aca="false">IF(OR(AF484="",AF484=0),"",AJ484/AF484)</f>
        <v/>
      </c>
      <c r="AL484" s="43" t="str">
        <f aca="false">IF(AJ484="","",AJ484-AM484)</f>
        <v/>
      </c>
      <c r="AM484" s="45" t="str">
        <f aca="false">IF(OR(AH484="",AF484=""),"",ROUND((AH484-AF484)/1.2*0.2,2))</f>
        <v/>
      </c>
      <c r="AN484" s="44" t="str">
        <f aca="false">IF(OR(AF484="",AF484=0),"",AL484/AF484)</f>
        <v/>
      </c>
      <c r="AO484" s="42"/>
      <c r="AP484" s="42"/>
      <c r="AQ484" s="42"/>
      <c r="AR484" s="46" t="str">
        <f aca="true">IF(OR(A484="",P484=""),"",IF(AO484&lt;&gt;"",AO484-P484,TODAY()-P484))</f>
        <v/>
      </c>
      <c r="AS484" s="42"/>
    </row>
    <row r="485" customFormat="false" ht="21.75" hidden="false" customHeight="true" outlineLevel="0" collapsed="false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8" t="str">
        <f aca="false">IF(A485="","",SUM(Y485:AE485))</f>
        <v/>
      </c>
      <c r="AG485" s="38" t="str">
        <f aca="false">IF(AF485="","",ROUND(AF485*1.2/100,0)*100)</f>
        <v/>
      </c>
      <c r="AH485" s="38"/>
      <c r="AI485" s="38" t="str">
        <f aca="false">IF(AF485="","",ROUND(AF485*1.05/100,0)*100)</f>
        <v/>
      </c>
      <c r="AJ485" s="38" t="str">
        <f aca="false">IF(OR(AH485="",AF485=""),"",AH485-AF485)</f>
        <v/>
      </c>
      <c r="AK485" s="39" t="str">
        <f aca="false">IF(OR(AF485="",AF485=0),"",AJ485/AF485)</f>
        <v/>
      </c>
      <c r="AL485" s="38" t="str">
        <f aca="false">IF(AJ485="","",AJ485-AM485)</f>
        <v/>
      </c>
      <c r="AM485" s="40" t="str">
        <f aca="false">IF(OR(AH485="",AF485=""),"",ROUND((AH485-AF485)/1.2*0.2,2))</f>
        <v/>
      </c>
      <c r="AN485" s="39" t="str">
        <f aca="false">IF(OR(AF485="",AF485=0),"",AL485/AF485)</f>
        <v/>
      </c>
      <c r="AO485" s="37"/>
      <c r="AP485" s="37"/>
      <c r="AQ485" s="37"/>
      <c r="AR485" s="41" t="str">
        <f aca="true">IF(OR(A485="",P485=""),"",IF(AO485&lt;&gt;"",AO485-P485,TODAY()-P485))</f>
        <v/>
      </c>
      <c r="AS485" s="37"/>
    </row>
    <row r="486" customFormat="false" ht="21.75" hidden="false" customHeight="true" outlineLevel="0" collapsed="false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3" t="str">
        <f aca="false">IF(A486="","",SUM(Y486:AE486))</f>
        <v/>
      </c>
      <c r="AG486" s="43" t="str">
        <f aca="false">IF(AF486="","",ROUND(AF486*1.2/100,0)*100)</f>
        <v/>
      </c>
      <c r="AH486" s="43"/>
      <c r="AI486" s="43" t="str">
        <f aca="false">IF(AF486="","",ROUND(AF486*1.05/100,0)*100)</f>
        <v/>
      </c>
      <c r="AJ486" s="43" t="str">
        <f aca="false">IF(OR(AH486="",AF486=""),"",AH486-AF486)</f>
        <v/>
      </c>
      <c r="AK486" s="44" t="str">
        <f aca="false">IF(OR(AF486="",AF486=0),"",AJ486/AF486)</f>
        <v/>
      </c>
      <c r="AL486" s="43" t="str">
        <f aca="false">IF(AJ486="","",AJ486-AM486)</f>
        <v/>
      </c>
      <c r="AM486" s="45" t="str">
        <f aca="false">IF(OR(AH486="",AF486=""),"",ROUND((AH486-AF486)/1.2*0.2,2))</f>
        <v/>
      </c>
      <c r="AN486" s="44" t="str">
        <f aca="false">IF(OR(AF486="",AF486=0),"",AL486/AF486)</f>
        <v/>
      </c>
      <c r="AO486" s="42"/>
      <c r="AP486" s="42"/>
      <c r="AQ486" s="42"/>
      <c r="AR486" s="46" t="str">
        <f aca="true">IF(OR(A486="",P486=""),"",IF(AO486&lt;&gt;"",AO486-P486,TODAY()-P486))</f>
        <v/>
      </c>
      <c r="AS486" s="42"/>
    </row>
    <row r="487" customFormat="false" ht="21.75" hidden="false" customHeight="true" outlineLevel="0" collapsed="false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8" t="str">
        <f aca="false">IF(A487="","",SUM(Y487:AE487))</f>
        <v/>
      </c>
      <c r="AG487" s="38" t="str">
        <f aca="false">IF(AF487="","",ROUND(AF487*1.2/100,0)*100)</f>
        <v/>
      </c>
      <c r="AH487" s="38"/>
      <c r="AI487" s="38" t="str">
        <f aca="false">IF(AF487="","",ROUND(AF487*1.05/100,0)*100)</f>
        <v/>
      </c>
      <c r="AJ487" s="38" t="str">
        <f aca="false">IF(OR(AH487="",AF487=""),"",AH487-AF487)</f>
        <v/>
      </c>
      <c r="AK487" s="39" t="str">
        <f aca="false">IF(OR(AF487="",AF487=0),"",AJ487/AF487)</f>
        <v/>
      </c>
      <c r="AL487" s="38" t="str">
        <f aca="false">IF(AJ487="","",AJ487-AM487)</f>
        <v/>
      </c>
      <c r="AM487" s="40" t="str">
        <f aca="false">IF(OR(AH487="",AF487=""),"",ROUND((AH487-AF487)/1.2*0.2,2))</f>
        <v/>
      </c>
      <c r="AN487" s="39" t="str">
        <f aca="false">IF(OR(AF487="",AF487=0),"",AL487/AF487)</f>
        <v/>
      </c>
      <c r="AO487" s="37"/>
      <c r="AP487" s="37"/>
      <c r="AQ487" s="37"/>
      <c r="AR487" s="41" t="str">
        <f aca="true">IF(OR(A487="",P487=""),"",IF(AO487&lt;&gt;"",AO487-P487,TODAY()-P487))</f>
        <v/>
      </c>
      <c r="AS487" s="37"/>
    </row>
    <row r="488" customFormat="false" ht="21.75" hidden="false" customHeight="true" outlineLevel="0" collapsed="false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3" t="str">
        <f aca="false">IF(A488="","",SUM(Y488:AE488))</f>
        <v/>
      </c>
      <c r="AG488" s="43" t="str">
        <f aca="false">IF(AF488="","",ROUND(AF488*1.2/100,0)*100)</f>
        <v/>
      </c>
      <c r="AH488" s="43"/>
      <c r="AI488" s="43" t="str">
        <f aca="false">IF(AF488="","",ROUND(AF488*1.05/100,0)*100)</f>
        <v/>
      </c>
      <c r="AJ488" s="43" t="str">
        <f aca="false">IF(OR(AH488="",AF488=""),"",AH488-AF488)</f>
        <v/>
      </c>
      <c r="AK488" s="44" t="str">
        <f aca="false">IF(OR(AF488="",AF488=0),"",AJ488/AF488)</f>
        <v/>
      </c>
      <c r="AL488" s="43" t="str">
        <f aca="false">IF(AJ488="","",AJ488-AM488)</f>
        <v/>
      </c>
      <c r="AM488" s="45" t="str">
        <f aca="false">IF(OR(AH488="",AF488=""),"",ROUND((AH488-AF488)/1.2*0.2,2))</f>
        <v/>
      </c>
      <c r="AN488" s="44" t="str">
        <f aca="false">IF(OR(AF488="",AF488=0),"",AL488/AF488)</f>
        <v/>
      </c>
      <c r="AO488" s="42"/>
      <c r="AP488" s="42"/>
      <c r="AQ488" s="42"/>
      <c r="AR488" s="46" t="str">
        <f aca="true">IF(OR(A488="",P488=""),"",IF(AO488&lt;&gt;"",AO488-P488,TODAY()-P488))</f>
        <v/>
      </c>
      <c r="AS488" s="42"/>
    </row>
    <row r="489" customFormat="false" ht="21.75" hidden="false" customHeight="true" outlineLevel="0" collapsed="false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8" t="str">
        <f aca="false">IF(A489="","",SUM(Y489:AE489))</f>
        <v/>
      </c>
      <c r="AG489" s="38" t="str">
        <f aca="false">IF(AF489="","",ROUND(AF489*1.2/100,0)*100)</f>
        <v/>
      </c>
      <c r="AH489" s="38"/>
      <c r="AI489" s="38" t="str">
        <f aca="false">IF(AF489="","",ROUND(AF489*1.05/100,0)*100)</f>
        <v/>
      </c>
      <c r="AJ489" s="38" t="str">
        <f aca="false">IF(OR(AH489="",AF489=""),"",AH489-AF489)</f>
        <v/>
      </c>
      <c r="AK489" s="39" t="str">
        <f aca="false">IF(OR(AF489="",AF489=0),"",AJ489/AF489)</f>
        <v/>
      </c>
      <c r="AL489" s="38" t="str">
        <f aca="false">IF(AJ489="","",AJ489-AM489)</f>
        <v/>
      </c>
      <c r="AM489" s="40" t="str">
        <f aca="false">IF(OR(AH489="",AF489=""),"",ROUND((AH489-AF489)/1.2*0.2,2))</f>
        <v/>
      </c>
      <c r="AN489" s="39" t="str">
        <f aca="false">IF(OR(AF489="",AF489=0),"",AL489/AF489)</f>
        <v/>
      </c>
      <c r="AO489" s="37"/>
      <c r="AP489" s="37"/>
      <c r="AQ489" s="37"/>
      <c r="AR489" s="41" t="str">
        <f aca="true">IF(OR(A489="",P489=""),"",IF(AO489&lt;&gt;"",AO489-P489,TODAY()-P489))</f>
        <v/>
      </c>
      <c r="AS489" s="37"/>
    </row>
    <row r="490" customFormat="false" ht="21.75" hidden="false" customHeight="true" outlineLevel="0" collapsed="false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3" t="str">
        <f aca="false">IF(A490="","",SUM(Y490:AE490))</f>
        <v/>
      </c>
      <c r="AG490" s="43" t="str">
        <f aca="false">IF(AF490="","",ROUND(AF490*1.2/100,0)*100)</f>
        <v/>
      </c>
      <c r="AH490" s="43"/>
      <c r="AI490" s="43" t="str">
        <f aca="false">IF(AF490="","",ROUND(AF490*1.05/100,0)*100)</f>
        <v/>
      </c>
      <c r="AJ490" s="43" t="str">
        <f aca="false">IF(OR(AH490="",AF490=""),"",AH490-AF490)</f>
        <v/>
      </c>
      <c r="AK490" s="44" t="str">
        <f aca="false">IF(OR(AF490="",AF490=0),"",AJ490/AF490)</f>
        <v/>
      </c>
      <c r="AL490" s="43" t="str">
        <f aca="false">IF(AJ490="","",AJ490-AM490)</f>
        <v/>
      </c>
      <c r="AM490" s="45" t="str">
        <f aca="false">IF(OR(AH490="",AF490=""),"",ROUND((AH490-AF490)/1.2*0.2,2))</f>
        <v/>
      </c>
      <c r="AN490" s="44" t="str">
        <f aca="false">IF(OR(AF490="",AF490=0),"",AL490/AF490)</f>
        <v/>
      </c>
      <c r="AO490" s="42"/>
      <c r="AP490" s="42"/>
      <c r="AQ490" s="42"/>
      <c r="AR490" s="46" t="str">
        <f aca="true">IF(OR(A490="",P490=""),"",IF(AO490&lt;&gt;"",AO490-P490,TODAY()-P490))</f>
        <v/>
      </c>
      <c r="AS490" s="42"/>
    </row>
    <row r="491" customFormat="false" ht="21.75" hidden="false" customHeight="true" outlineLevel="0" collapsed="false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8" t="str">
        <f aca="false">IF(A491="","",SUM(Y491:AE491))</f>
        <v/>
      </c>
      <c r="AG491" s="38" t="str">
        <f aca="false">IF(AF491="","",ROUND(AF491*1.2/100,0)*100)</f>
        <v/>
      </c>
      <c r="AH491" s="38"/>
      <c r="AI491" s="38" t="str">
        <f aca="false">IF(AF491="","",ROUND(AF491*1.05/100,0)*100)</f>
        <v/>
      </c>
      <c r="AJ491" s="38" t="str">
        <f aca="false">IF(OR(AH491="",AF491=""),"",AH491-AF491)</f>
        <v/>
      </c>
      <c r="AK491" s="39" t="str">
        <f aca="false">IF(OR(AF491="",AF491=0),"",AJ491/AF491)</f>
        <v/>
      </c>
      <c r="AL491" s="38" t="str">
        <f aca="false">IF(AJ491="","",AJ491-AM491)</f>
        <v/>
      </c>
      <c r="AM491" s="40" t="str">
        <f aca="false">IF(OR(AH491="",AF491=""),"",ROUND((AH491-AF491)/1.2*0.2,2))</f>
        <v/>
      </c>
      <c r="AN491" s="39" t="str">
        <f aca="false">IF(OR(AF491="",AF491=0),"",AL491/AF491)</f>
        <v/>
      </c>
      <c r="AO491" s="37"/>
      <c r="AP491" s="37"/>
      <c r="AQ491" s="37"/>
      <c r="AR491" s="41" t="str">
        <f aca="true">IF(OR(A491="",P491=""),"",IF(AO491&lt;&gt;"",AO491-P491,TODAY()-P491))</f>
        <v/>
      </c>
      <c r="AS491" s="37"/>
    </row>
    <row r="492" customFormat="false" ht="21.75" hidden="false" customHeight="true" outlineLevel="0" collapsed="false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3" t="str">
        <f aca="false">IF(A492="","",SUM(Y492:AE492))</f>
        <v/>
      </c>
      <c r="AG492" s="43" t="str">
        <f aca="false">IF(AF492="","",ROUND(AF492*1.2/100,0)*100)</f>
        <v/>
      </c>
      <c r="AH492" s="43"/>
      <c r="AI492" s="43" t="str">
        <f aca="false">IF(AF492="","",ROUND(AF492*1.05/100,0)*100)</f>
        <v/>
      </c>
      <c r="AJ492" s="43" t="str">
        <f aca="false">IF(OR(AH492="",AF492=""),"",AH492-AF492)</f>
        <v/>
      </c>
      <c r="AK492" s="44" t="str">
        <f aca="false">IF(OR(AF492="",AF492=0),"",AJ492/AF492)</f>
        <v/>
      </c>
      <c r="AL492" s="43" t="str">
        <f aca="false">IF(AJ492="","",AJ492-AM492)</f>
        <v/>
      </c>
      <c r="AM492" s="45" t="str">
        <f aca="false">IF(OR(AH492="",AF492=""),"",ROUND((AH492-AF492)/1.2*0.2,2))</f>
        <v/>
      </c>
      <c r="AN492" s="44" t="str">
        <f aca="false">IF(OR(AF492="",AF492=0),"",AL492/AF492)</f>
        <v/>
      </c>
      <c r="AO492" s="42"/>
      <c r="AP492" s="42"/>
      <c r="AQ492" s="42"/>
      <c r="AR492" s="46" t="str">
        <f aca="true">IF(OR(A492="",P492=""),"",IF(AO492&lt;&gt;"",AO492-P492,TODAY()-P492))</f>
        <v/>
      </c>
      <c r="AS492" s="42"/>
    </row>
    <row r="493" customFormat="false" ht="21.75" hidden="false" customHeight="true" outlineLevel="0" collapsed="false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8" t="str">
        <f aca="false">IF(A493="","",SUM(Y493:AE493))</f>
        <v/>
      </c>
      <c r="AG493" s="38" t="str">
        <f aca="false">IF(AF493="","",ROUND(AF493*1.2/100,0)*100)</f>
        <v/>
      </c>
      <c r="AH493" s="38"/>
      <c r="AI493" s="38" t="str">
        <f aca="false">IF(AF493="","",ROUND(AF493*1.05/100,0)*100)</f>
        <v/>
      </c>
      <c r="AJ493" s="38" t="str">
        <f aca="false">IF(OR(AH493="",AF493=""),"",AH493-AF493)</f>
        <v/>
      </c>
      <c r="AK493" s="39" t="str">
        <f aca="false">IF(OR(AF493="",AF493=0),"",AJ493/AF493)</f>
        <v/>
      </c>
      <c r="AL493" s="38" t="str">
        <f aca="false">IF(AJ493="","",AJ493-AM493)</f>
        <v/>
      </c>
      <c r="AM493" s="40" t="str">
        <f aca="false">IF(OR(AH493="",AF493=""),"",ROUND((AH493-AF493)/1.2*0.2,2))</f>
        <v/>
      </c>
      <c r="AN493" s="39" t="str">
        <f aca="false">IF(OR(AF493="",AF493=0),"",AL493/AF493)</f>
        <v/>
      </c>
      <c r="AO493" s="37"/>
      <c r="AP493" s="37"/>
      <c r="AQ493" s="37"/>
      <c r="AR493" s="41" t="str">
        <f aca="true">IF(OR(A493="",P493=""),"",IF(AO493&lt;&gt;"",AO493-P493,TODAY()-P493))</f>
        <v/>
      </c>
      <c r="AS493" s="37"/>
    </row>
    <row r="494" customFormat="false" ht="21.75" hidden="false" customHeight="true" outlineLevel="0" collapsed="false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3" t="str">
        <f aca="false">IF(A494="","",SUM(Y494:AE494))</f>
        <v/>
      </c>
      <c r="AG494" s="43" t="str">
        <f aca="false">IF(AF494="","",ROUND(AF494*1.2/100,0)*100)</f>
        <v/>
      </c>
      <c r="AH494" s="43"/>
      <c r="AI494" s="43" t="str">
        <f aca="false">IF(AF494="","",ROUND(AF494*1.05/100,0)*100)</f>
        <v/>
      </c>
      <c r="AJ494" s="43" t="str">
        <f aca="false">IF(OR(AH494="",AF494=""),"",AH494-AF494)</f>
        <v/>
      </c>
      <c r="AK494" s="44" t="str">
        <f aca="false">IF(OR(AF494="",AF494=0),"",AJ494/AF494)</f>
        <v/>
      </c>
      <c r="AL494" s="43" t="str">
        <f aca="false">IF(AJ494="","",AJ494-AM494)</f>
        <v/>
      </c>
      <c r="AM494" s="45" t="str">
        <f aca="false">IF(OR(AH494="",AF494=""),"",ROUND((AH494-AF494)/1.2*0.2,2))</f>
        <v/>
      </c>
      <c r="AN494" s="44" t="str">
        <f aca="false">IF(OR(AF494="",AF494=0),"",AL494/AF494)</f>
        <v/>
      </c>
      <c r="AO494" s="42"/>
      <c r="AP494" s="42"/>
      <c r="AQ494" s="42"/>
      <c r="AR494" s="46" t="str">
        <f aca="true">IF(OR(A494="",P494=""),"",IF(AO494&lt;&gt;"",AO494-P494,TODAY()-P494))</f>
        <v/>
      </c>
      <c r="AS494" s="42"/>
    </row>
    <row r="495" customFormat="false" ht="21.75" hidden="false" customHeight="true" outlineLevel="0" collapsed="false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8" t="str">
        <f aca="false">IF(A495="","",SUM(Y495:AE495))</f>
        <v/>
      </c>
      <c r="AG495" s="38" t="str">
        <f aca="false">IF(AF495="","",ROUND(AF495*1.2/100,0)*100)</f>
        <v/>
      </c>
      <c r="AH495" s="38"/>
      <c r="AI495" s="38" t="str">
        <f aca="false">IF(AF495="","",ROUND(AF495*1.05/100,0)*100)</f>
        <v/>
      </c>
      <c r="AJ495" s="38" t="str">
        <f aca="false">IF(OR(AH495="",AF495=""),"",AH495-AF495)</f>
        <v/>
      </c>
      <c r="AK495" s="39" t="str">
        <f aca="false">IF(OR(AF495="",AF495=0),"",AJ495/AF495)</f>
        <v/>
      </c>
      <c r="AL495" s="38" t="str">
        <f aca="false">IF(AJ495="","",AJ495-AM495)</f>
        <v/>
      </c>
      <c r="AM495" s="40" t="str">
        <f aca="false">IF(OR(AH495="",AF495=""),"",ROUND((AH495-AF495)/1.2*0.2,2))</f>
        <v/>
      </c>
      <c r="AN495" s="39" t="str">
        <f aca="false">IF(OR(AF495="",AF495=0),"",AL495/AF495)</f>
        <v/>
      </c>
      <c r="AO495" s="37"/>
      <c r="AP495" s="37"/>
      <c r="AQ495" s="37"/>
      <c r="AR495" s="41" t="str">
        <f aca="true">IF(OR(A495="",P495=""),"",IF(AO495&lt;&gt;"",AO495-P495,TODAY()-P495))</f>
        <v/>
      </c>
      <c r="AS495" s="37"/>
    </row>
    <row r="496" customFormat="false" ht="21.75" hidden="false" customHeight="true" outlineLevel="0" collapsed="false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3" t="str">
        <f aca="false">IF(A496="","",SUM(Y496:AE496))</f>
        <v/>
      </c>
      <c r="AG496" s="43" t="str">
        <f aca="false">IF(AF496="","",ROUND(AF496*1.2/100,0)*100)</f>
        <v/>
      </c>
      <c r="AH496" s="43"/>
      <c r="AI496" s="43" t="str">
        <f aca="false">IF(AF496="","",ROUND(AF496*1.05/100,0)*100)</f>
        <v/>
      </c>
      <c r="AJ496" s="43" t="str">
        <f aca="false">IF(OR(AH496="",AF496=""),"",AH496-AF496)</f>
        <v/>
      </c>
      <c r="AK496" s="44" t="str">
        <f aca="false">IF(OR(AF496="",AF496=0),"",AJ496/AF496)</f>
        <v/>
      </c>
      <c r="AL496" s="43" t="str">
        <f aca="false">IF(AJ496="","",AJ496-AM496)</f>
        <v/>
      </c>
      <c r="AM496" s="45" t="str">
        <f aca="false">IF(OR(AH496="",AF496=""),"",ROUND((AH496-AF496)/1.2*0.2,2))</f>
        <v/>
      </c>
      <c r="AN496" s="44" t="str">
        <f aca="false">IF(OR(AF496="",AF496=0),"",AL496/AF496)</f>
        <v/>
      </c>
      <c r="AO496" s="42"/>
      <c r="AP496" s="42"/>
      <c r="AQ496" s="42"/>
      <c r="AR496" s="46" t="str">
        <f aca="true">IF(OR(A496="",P496=""),"",IF(AO496&lt;&gt;"",AO496-P496,TODAY()-P496))</f>
        <v/>
      </c>
      <c r="AS496" s="42"/>
    </row>
    <row r="497" customFormat="false" ht="21.75" hidden="false" customHeight="true" outlineLevel="0" collapsed="false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8" t="str">
        <f aca="false">IF(A497="","",SUM(Y497:AE497))</f>
        <v/>
      </c>
      <c r="AG497" s="38" t="str">
        <f aca="false">IF(AF497="","",ROUND(AF497*1.2/100,0)*100)</f>
        <v/>
      </c>
      <c r="AH497" s="38"/>
      <c r="AI497" s="38" t="str">
        <f aca="false">IF(AF497="","",ROUND(AF497*1.05/100,0)*100)</f>
        <v/>
      </c>
      <c r="AJ497" s="38" t="str">
        <f aca="false">IF(OR(AH497="",AF497=""),"",AH497-AF497)</f>
        <v/>
      </c>
      <c r="AK497" s="39" t="str">
        <f aca="false">IF(OR(AF497="",AF497=0),"",AJ497/AF497)</f>
        <v/>
      </c>
      <c r="AL497" s="38" t="str">
        <f aca="false">IF(AJ497="","",AJ497-AM497)</f>
        <v/>
      </c>
      <c r="AM497" s="40" t="str">
        <f aca="false">IF(OR(AH497="",AF497=""),"",ROUND((AH497-AF497)/1.2*0.2,2))</f>
        <v/>
      </c>
      <c r="AN497" s="39" t="str">
        <f aca="false">IF(OR(AF497="",AF497=0),"",AL497/AF497)</f>
        <v/>
      </c>
      <c r="AO497" s="37"/>
      <c r="AP497" s="37"/>
      <c r="AQ497" s="37"/>
      <c r="AR497" s="41" t="str">
        <f aca="true">IF(OR(A497="",P497=""),"",IF(AO497&lt;&gt;"",AO497-P497,TODAY()-P497))</f>
        <v/>
      </c>
      <c r="AS497" s="37"/>
    </row>
    <row r="498" customFormat="false" ht="21.75" hidden="false" customHeight="true" outlineLevel="0" collapsed="false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3" t="str">
        <f aca="false">IF(A498="","",SUM(Y498:AE498))</f>
        <v/>
      </c>
      <c r="AG498" s="43" t="str">
        <f aca="false">IF(AF498="","",ROUND(AF498*1.2/100,0)*100)</f>
        <v/>
      </c>
      <c r="AH498" s="43"/>
      <c r="AI498" s="43" t="str">
        <f aca="false">IF(AF498="","",ROUND(AF498*1.05/100,0)*100)</f>
        <v/>
      </c>
      <c r="AJ498" s="43" t="str">
        <f aca="false">IF(OR(AH498="",AF498=""),"",AH498-AF498)</f>
        <v/>
      </c>
      <c r="AK498" s="44" t="str">
        <f aca="false">IF(OR(AF498="",AF498=0),"",AJ498/AF498)</f>
        <v/>
      </c>
      <c r="AL498" s="43" t="str">
        <f aca="false">IF(AJ498="","",AJ498-AM498)</f>
        <v/>
      </c>
      <c r="AM498" s="45" t="str">
        <f aca="false">IF(OR(AH498="",AF498=""),"",ROUND((AH498-AF498)/1.2*0.2,2))</f>
        <v/>
      </c>
      <c r="AN498" s="44" t="str">
        <f aca="false">IF(OR(AF498="",AF498=0),"",AL498/AF498)</f>
        <v/>
      </c>
      <c r="AO498" s="42"/>
      <c r="AP498" s="42"/>
      <c r="AQ498" s="42"/>
      <c r="AR498" s="46" t="str">
        <f aca="true">IF(OR(A498="",P498=""),"",IF(AO498&lt;&gt;"",AO498-P498,TODAY()-P498))</f>
        <v/>
      </c>
      <c r="AS498" s="42"/>
    </row>
    <row r="499" customFormat="false" ht="21.75" hidden="false" customHeight="true" outlineLevel="0" collapsed="false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8" t="str">
        <f aca="false">IF(A499="","",SUM(Y499:AE499))</f>
        <v/>
      </c>
      <c r="AG499" s="38" t="str">
        <f aca="false">IF(AF499="","",ROUND(AF499*1.2/100,0)*100)</f>
        <v/>
      </c>
      <c r="AH499" s="38"/>
      <c r="AI499" s="38" t="str">
        <f aca="false">IF(AF499="","",ROUND(AF499*1.05/100,0)*100)</f>
        <v/>
      </c>
      <c r="AJ499" s="38" t="str">
        <f aca="false">IF(OR(AH499="",AF499=""),"",AH499-AF499)</f>
        <v/>
      </c>
      <c r="AK499" s="39" t="str">
        <f aca="false">IF(OR(AF499="",AF499=0),"",AJ499/AF499)</f>
        <v/>
      </c>
      <c r="AL499" s="38" t="str">
        <f aca="false">IF(AJ499="","",AJ499-AM499)</f>
        <v/>
      </c>
      <c r="AM499" s="40" t="str">
        <f aca="false">IF(OR(AH499="",AF499=""),"",ROUND((AH499-AF499)/1.2*0.2,2))</f>
        <v/>
      </c>
      <c r="AN499" s="39" t="str">
        <f aca="false">IF(OR(AF499="",AF499=0),"",AL499/AF499)</f>
        <v/>
      </c>
      <c r="AO499" s="37"/>
      <c r="AP499" s="37"/>
      <c r="AQ499" s="37"/>
      <c r="AR499" s="41" t="str">
        <f aca="true">IF(OR(A499="",P499=""),"",IF(AO499&lt;&gt;"",AO499-P499,TODAY()-P499))</f>
        <v/>
      </c>
      <c r="AS499" s="37"/>
    </row>
    <row r="500" customFormat="false" ht="21.75" hidden="false" customHeight="true" outlineLevel="0" collapsed="false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3" t="str">
        <f aca="false">IF(A500="","",SUM(Y500:AE500))</f>
        <v/>
      </c>
      <c r="AG500" s="43" t="str">
        <f aca="false">IF(AF500="","",ROUND(AF500*1.2/100,0)*100)</f>
        <v/>
      </c>
      <c r="AH500" s="43"/>
      <c r="AI500" s="43" t="str">
        <f aca="false">IF(AF500="","",ROUND(AF500*1.05/100,0)*100)</f>
        <v/>
      </c>
      <c r="AJ500" s="43" t="str">
        <f aca="false">IF(OR(AH500="",AF500=""),"",AH500-AF500)</f>
        <v/>
      </c>
      <c r="AK500" s="44" t="str">
        <f aca="false">IF(OR(AF500="",AF500=0),"",AJ500/AF500)</f>
        <v/>
      </c>
      <c r="AL500" s="43" t="str">
        <f aca="false">IF(AJ500="","",AJ500-AM500)</f>
        <v/>
      </c>
      <c r="AM500" s="45" t="str">
        <f aca="false">IF(OR(AH500="",AF500=""),"",ROUND((AH500-AF500)/1.2*0.2,2))</f>
        <v/>
      </c>
      <c r="AN500" s="44" t="str">
        <f aca="false">IF(OR(AF500="",AF500=0),"",AL500/AF500)</f>
        <v/>
      </c>
      <c r="AO500" s="42"/>
      <c r="AP500" s="42"/>
      <c r="AQ500" s="42"/>
      <c r="AR500" s="46" t="str">
        <f aca="true">IF(OR(A500="",P500=""),"",IF(AO500&lt;&gt;"",AO500-P500,TODAY()-P500))</f>
        <v/>
      </c>
      <c r="AS500" s="42"/>
    </row>
    <row r="501" customFormat="false" ht="21.75" hidden="false" customHeight="true" outlineLevel="0" collapsed="false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8" t="str">
        <f aca="false">IF(A501="","",SUM(Y501:AE501))</f>
        <v/>
      </c>
      <c r="AG501" s="38" t="str">
        <f aca="false">IF(AF501="","",ROUND(AF501*1.2/100,0)*100)</f>
        <v/>
      </c>
      <c r="AH501" s="38"/>
      <c r="AI501" s="38" t="str">
        <f aca="false">IF(AF501="","",ROUND(AF501*1.05/100,0)*100)</f>
        <v/>
      </c>
      <c r="AJ501" s="38" t="str">
        <f aca="false">IF(OR(AH501="",AF501=""),"",AH501-AF501)</f>
        <v/>
      </c>
      <c r="AK501" s="39" t="str">
        <f aca="false">IF(OR(AF501="",AF501=0),"",AJ501/AF501)</f>
        <v/>
      </c>
      <c r="AL501" s="38" t="str">
        <f aca="false">IF(AJ501="","",AJ501-AM501)</f>
        <v/>
      </c>
      <c r="AM501" s="40" t="str">
        <f aca="false">IF(OR(AH501="",AF501=""),"",ROUND((AH501-AF501)/1.2*0.2,2))</f>
        <v/>
      </c>
      <c r="AN501" s="39" t="str">
        <f aca="false">IF(OR(AF501="",AF501=0),"",AL501/AF501)</f>
        <v/>
      </c>
      <c r="AO501" s="37"/>
      <c r="AP501" s="37"/>
      <c r="AQ501" s="37"/>
      <c r="AR501" s="41" t="str">
        <f aca="true">IF(OR(A501="",P501=""),"",IF(AO501&lt;&gt;"",AO501-P501,TODAY()-P501))</f>
        <v/>
      </c>
      <c r="AS501" s="37"/>
    </row>
    <row r="502" customFormat="false" ht="21.75" hidden="false" customHeight="true" outlineLevel="0" collapsed="false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3" t="str">
        <f aca="false">IF(A502="","",SUM(Y502:AE502))</f>
        <v/>
      </c>
      <c r="AG502" s="43" t="str">
        <f aca="false">IF(AF502="","",ROUND(AF502*1.2/100,0)*100)</f>
        <v/>
      </c>
      <c r="AH502" s="43"/>
      <c r="AI502" s="43" t="str">
        <f aca="false">IF(AF502="","",ROUND(AF502*1.05/100,0)*100)</f>
        <v/>
      </c>
      <c r="AJ502" s="43" t="str">
        <f aca="false">IF(OR(AH502="",AF502=""),"",AH502-AF502)</f>
        <v/>
      </c>
      <c r="AK502" s="44" t="str">
        <f aca="false">IF(OR(AF502="",AF502=0),"",AJ502/AF502)</f>
        <v/>
      </c>
      <c r="AL502" s="43" t="str">
        <f aca="false">IF(AJ502="","",AJ502-AM502)</f>
        <v/>
      </c>
      <c r="AM502" s="45" t="str">
        <f aca="false">IF(OR(AH502="",AF502=""),"",ROUND((AH502-AF502)/1.2*0.2,2))</f>
        <v/>
      </c>
      <c r="AN502" s="44" t="str">
        <f aca="false">IF(OR(AF502="",AF502=0),"",AL502/AF502)</f>
        <v/>
      </c>
      <c r="AO502" s="42"/>
      <c r="AP502" s="42"/>
      <c r="AQ502" s="42"/>
      <c r="AR502" s="46" t="str">
        <f aca="true">IF(OR(A502="",P502=""),"",IF(AO502&lt;&gt;"",AO502-P502,TODAY()-P502))</f>
        <v/>
      </c>
      <c r="AS502" s="42"/>
    </row>
  </sheetData>
  <mergeCells count="6">
    <mergeCell ref="A1:L1"/>
    <mergeCell ref="M1:V1"/>
    <mergeCell ref="W1:AE1"/>
    <mergeCell ref="AF1:AN1"/>
    <mergeCell ref="AO1:AQ1"/>
    <mergeCell ref="AR1:AS1"/>
  </mergeCells>
  <conditionalFormatting sqref="L3:L5002">
    <cfRule type="expression" priority="2" aboveAverage="0" equalAverage="0" bottom="0" percent="0" rank="0" text="" dxfId="0">
      <formula>$L3="Disponible"</formula>
    </cfRule>
    <cfRule type="expression" priority="3" aboveAverage="0" equalAverage="0" bottom="0" percent="0" rank="0" text="" dxfId="1">
      <formula>$L3="Préparation"</formula>
    </cfRule>
    <cfRule type="expression" priority="4" aboveAverage="0" equalAverage="0" bottom="0" percent="0" rank="0" text="" dxfId="2">
      <formula>$L3="Publié"</formula>
    </cfRule>
    <cfRule type="expression" priority="5" aboveAverage="0" equalAverage="0" bottom="0" percent="0" rank="0" text="" dxfId="3">
      <formula>$L3="Réservé"</formula>
    </cfRule>
    <cfRule type="expression" priority="6" aboveAverage="0" equalAverage="0" bottom="0" percent="0" rank="0" text="" dxfId="4">
      <formula>$L3="Vendu"</formula>
    </cfRule>
    <cfRule type="expression" priority="7" aboveAverage="0" equalAverage="0" bottom="0" percent="0" rank="0" text="" dxfId="5">
      <formula>$L3="Livré"</formula>
    </cfRule>
    <cfRule type="expression" priority="8" aboveAverage="0" equalAverage="0" bottom="0" percent="0" rank="0" text="" dxfId="6">
      <formula>$L3="SAV"</formula>
    </cfRule>
  </conditionalFormatting>
  <conditionalFormatting sqref="AJ3:AJ5002">
    <cfRule type="cellIs" priority="9" operator="lessThan" aboveAverage="0" equalAverage="0" bottom="0" percent="0" rank="0" text="" dxfId="7">
      <formula>0</formula>
    </cfRule>
  </conditionalFormatting>
  <conditionalFormatting sqref="AR3:AR5002">
    <cfRule type="cellIs" priority="10" operator="greaterThanOrEqual" aboveAverage="0" equalAverage="0" bottom="0" percent="0" rank="0" text="" dxfId="8">
      <formula>45</formula>
    </cfRule>
  </conditionalFormatting>
  <conditionalFormatting sqref="U3:U5002">
    <cfRule type="expression" priority="11" aboveAverage="0" equalAverage="0" bottom="0" percent="0" rank="0" text="" dxfId="9">
      <formula>AND(U3&lt;&gt;"",U3&lt;TODAY())</formula>
    </cfRule>
  </conditionalFormatting>
  <dataValidations count="5">
    <dataValidation allowBlank="false" error="Choisissez un statut dans la liste." errorStyle="stop" errorTitle="Statut invalide" operator="between" showDropDown="false" showErrorMessage="true" showInputMessage="false" sqref="L3:L1502" type="list">
      <formula1>"Disponible,Préparation,Publié,Réservé,Vendu,Livré,SAV"</formula1>
      <formula2>0</formula2>
    </dataValidation>
    <dataValidation allowBlank="false" errorStyle="stop" operator="between" showDropDown="false" showErrorMessage="false" showInputMessage="false" sqref="J3:J1502" type="list">
      <formula1>"Essence,Diesel,Hybride,Hybride rechargeable,Électrique,GPL,GNV"</formula1>
      <formula2>0</formula2>
    </dataValidation>
    <dataValidation allowBlank="false" errorStyle="stop" operator="between" showDropDown="false" showErrorMessage="false" showInputMessage="false" sqref="K3:K1502" type="list">
      <formula1>"Manuelle,Automatique,Semi-automatique,CVT"</formula1>
      <formula2>0</formula2>
    </dataValidation>
    <dataValidation allowBlank="false" errorStyle="stop" operator="between" showDropDown="false" showErrorMessage="false" showInputMessage="false" sqref="W3:W1502" type="list">
      <formula1>"Particulier,Reprise,Enchères BCA,Enchères SVI,Mandataire,Concession,Leaser,Import,Centrale achat"</formula1>
      <formula2>0</formula2>
    </dataValidation>
    <dataValidation allowBlank="false" errorStyle="stop" operator="between" showDropDown="false" showErrorMessage="false" showInputMessage="false" sqref="T3:T1502" type="list">
      <formula1>"Crit'Air 0,Crit'Air 1,Crit'Air 2,Crit'Air 3,Crit'Air 4,Crit'Air 5,Non classé"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C653"/>
    <pageSetUpPr fitToPage="false"/>
  </sheetPr>
  <dimension ref="A1:S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8"/>
    <col collapsed="false" customWidth="true" hidden="false" outlineLevel="0" max="3" min="3" style="1" width="13"/>
    <col collapsed="false" customWidth="true" hidden="false" outlineLevel="0" max="4" min="4" style="1" width="22"/>
    <col collapsed="false" customWidth="true" hidden="false" outlineLevel="0" max="5" min="5" style="1" width="12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16"/>
    <col collapsed="false" customWidth="true" hidden="false" outlineLevel="0" max="9" min="9" style="1" width="9"/>
    <col collapsed="false" customWidth="true" hidden="false" outlineLevel="0" max="10" min="10" style="1" width="12"/>
    <col collapsed="false" customWidth="true" hidden="false" outlineLevel="0" max="11" min="11" style="1" width="11"/>
    <col collapsed="false" customWidth="true" hidden="false" outlineLevel="0" max="12" min="12" style="1" width="13"/>
    <col collapsed="false" customWidth="true" hidden="false" outlineLevel="0" max="13" min="13" style="1" width="12"/>
    <col collapsed="false" customWidth="true" hidden="false" outlineLevel="0" max="14" min="14" style="1" width="9"/>
    <col collapsed="false" customWidth="true" hidden="false" outlineLevel="0" max="15" min="15" style="1" width="18"/>
    <col collapsed="false" customWidth="true" hidden="false" outlineLevel="0" max="16" min="16" style="1" width="12"/>
    <col collapsed="false" customWidth="true" hidden="false" outlineLevel="0" max="17" min="17" style="1" width="28"/>
    <col collapsed="false" customWidth="true" hidden="false" outlineLevel="0" max="18" min="18" style="1" width="12"/>
    <col collapsed="false" customWidth="true" hidden="false" outlineLevel="0" max="19" min="19" style="1" width="10"/>
  </cols>
  <sheetData>
    <row r="1" customFormat="false" ht="37.5" hidden="false" customHeight="true" outlineLevel="0" collapsed="false">
      <c r="A1" s="35" t="s">
        <v>74</v>
      </c>
      <c r="B1" s="35" t="s">
        <v>75</v>
      </c>
      <c r="C1" s="35" t="s">
        <v>76</v>
      </c>
      <c r="D1" s="35" t="s">
        <v>77</v>
      </c>
      <c r="E1" s="35" t="s">
        <v>78</v>
      </c>
      <c r="F1" s="35" t="s">
        <v>79</v>
      </c>
      <c r="G1" s="35" t="s">
        <v>80</v>
      </c>
      <c r="H1" s="47" t="s">
        <v>81</v>
      </c>
      <c r="I1" s="35" t="s">
        <v>82</v>
      </c>
      <c r="J1" s="35" t="s">
        <v>83</v>
      </c>
      <c r="K1" s="35" t="s">
        <v>84</v>
      </c>
      <c r="L1" s="35" t="s">
        <v>85</v>
      </c>
      <c r="M1" s="35" t="s">
        <v>86</v>
      </c>
      <c r="N1" s="35" t="s">
        <v>87</v>
      </c>
      <c r="O1" s="35" t="s">
        <v>88</v>
      </c>
      <c r="P1" s="35" t="s">
        <v>89</v>
      </c>
      <c r="Q1" s="35" t="s">
        <v>90</v>
      </c>
      <c r="R1" s="35" t="s">
        <v>91</v>
      </c>
      <c r="S1" s="35" t="s">
        <v>92</v>
      </c>
    </row>
    <row r="2" customFormat="false" ht="21.75" hidden="false" customHeight="true" outlineLevel="0" collapsed="false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</row>
    <row r="3" customFormat="false" ht="21.75" hidden="false" customHeight="true" outlineLevel="0" collapsed="false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</row>
    <row r="4" customFormat="false" ht="21.75" hidden="false" customHeight="true" outlineLevel="0" collapsed="false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</row>
    <row r="5" customFormat="false" ht="21.75" hidden="false" customHeight="true" outlineLevel="0" collapsed="false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</row>
    <row r="6" customFormat="false" ht="21.75" hidden="false" customHeight="true" outlineLevel="0" collapsed="false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</row>
    <row r="7" customFormat="false" ht="21.75" hidden="false" customHeight="true" outlineLevel="0" collapsed="false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</row>
    <row r="8" customFormat="false" ht="21.75" hidden="false" customHeight="true" outlineLevel="0" collapsed="false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</row>
    <row r="9" customFormat="false" ht="21.75" hidden="false" customHeight="true" outlineLevel="0" collapsed="false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</row>
    <row r="10" customFormat="false" ht="21.75" hidden="false" customHeight="true" outlineLevel="0" collapsed="false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</row>
    <row r="11" customFormat="false" ht="21.75" hidden="false" customHeight="true" outlineLevel="0" collapsed="false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</row>
    <row r="12" customFormat="false" ht="21.75" hidden="false" customHeight="true" outlineLevel="0" collapsed="false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</row>
    <row r="13" customFormat="false" ht="21.75" hidden="false" customHeight="true" outlineLevel="0" collapsed="false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</row>
    <row r="14" customFormat="false" ht="21.75" hidden="false" customHeight="true" outlineLevel="0" collapsed="false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</row>
    <row r="15" customFormat="false" ht="21.75" hidden="false" customHeight="true" outlineLevel="0" collapsed="false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</row>
    <row r="16" customFormat="false" ht="21.75" hidden="false" customHeight="true" outlineLevel="0" collapsed="false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</row>
    <row r="17" customFormat="false" ht="21.7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</row>
    <row r="18" customFormat="false" ht="21.75" hidden="false" customHeight="true" outlineLevel="0" collapsed="false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</row>
    <row r="19" customFormat="false" ht="21.7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</row>
    <row r="20" customFormat="false" ht="21.75" hidden="false" customHeight="true" outlineLevel="0" collapsed="false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</row>
    <row r="21" customFormat="false" ht="21.75" hidden="false" customHeight="true" outlineLevel="0" collapsed="false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</row>
    <row r="22" customFormat="false" ht="21.75" hidden="false" customHeight="true" outlineLevel="0" collapsed="false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</row>
    <row r="23" customFormat="false" ht="21.75" hidden="false" customHeight="true" outlineLevel="0" collapsed="false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</row>
    <row r="24" customFormat="false" ht="21.75" hidden="false" customHeight="true" outlineLevel="0" collapsed="false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</row>
    <row r="25" customFormat="false" ht="21.75" hidden="false" customHeight="true" outlineLevel="0" collapsed="false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</row>
    <row r="26" customFormat="false" ht="21.75" hidden="false" customHeight="true" outlineLevel="0" collapsed="false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</row>
    <row r="27" customFormat="false" ht="21.75" hidden="false" customHeight="true" outlineLevel="0" collapsed="false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</row>
    <row r="28" customFormat="false" ht="21.75" hidden="false" customHeight="true" outlineLevel="0" collapsed="false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</row>
    <row r="29" customFormat="false" ht="21.75" hidden="false" customHeight="true" outlineLevel="0" collapsed="false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</row>
    <row r="30" customFormat="false" ht="21.75" hidden="false" customHeight="true" outlineLevel="0" collapsed="false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</row>
    <row r="31" customFormat="false" ht="21.75" hidden="false" customHeight="true" outlineLevel="0" collapsed="false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</row>
    <row r="32" customFormat="false" ht="21.75" hidden="false" customHeight="true" outlineLevel="0" collapsed="false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</row>
    <row r="33" customFormat="false" ht="21.75" hidden="false" customHeight="true" outlineLevel="0" collapsed="false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</row>
    <row r="34" customFormat="false" ht="21.75" hidden="false" customHeight="true" outlineLevel="0" collapsed="false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</row>
    <row r="35" customFormat="false" ht="21.75" hidden="false" customHeight="true" outlineLevel="0" collapsed="false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</row>
    <row r="36" customFormat="false" ht="21.75" hidden="false" customHeight="true" outlineLevel="0" collapsed="false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</row>
    <row r="37" customFormat="false" ht="21.75" hidden="false" customHeight="true" outlineLevel="0" collapsed="false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</row>
    <row r="38" customFormat="false" ht="21.75" hidden="false" customHeight="true" outlineLevel="0" collapsed="false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</row>
    <row r="39" customFormat="false" ht="21.75" hidden="false" customHeight="true" outlineLevel="0" collapsed="false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</row>
    <row r="40" customFormat="false" ht="21.75" hidden="false" customHeight="true" outlineLevel="0" collapsed="false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</row>
    <row r="41" customFormat="false" ht="21.75" hidden="false" customHeight="true" outlineLevel="0" collapsed="false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</row>
    <row r="42" customFormat="false" ht="21.75" hidden="false" customHeight="true" outlineLevel="0" collapsed="false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</row>
    <row r="43" customFormat="false" ht="21.75" hidden="false" customHeight="true" outlineLevel="0" collapsed="false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</row>
    <row r="44" customFormat="false" ht="21.75" hidden="false" customHeight="true" outlineLevel="0" collapsed="false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</row>
    <row r="45" customFormat="false" ht="21.75" hidden="false" customHeight="true" outlineLevel="0" collapsed="false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</row>
    <row r="46" customFormat="false" ht="21.75" hidden="false" customHeight="true" outlineLevel="0" collapsed="false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</row>
    <row r="47" customFormat="false" ht="21.75" hidden="false" customHeight="true" outlineLevel="0" collapsed="false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</row>
    <row r="48" customFormat="false" ht="21.75" hidden="false" customHeight="true" outlineLevel="0" collapsed="false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</row>
    <row r="49" customFormat="false" ht="21.75" hidden="false" customHeight="true" outlineLevel="0" collapsed="false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</row>
    <row r="50" customFormat="false" ht="21.75" hidden="false" customHeight="true" outlineLevel="0" collapsed="false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</row>
    <row r="51" customFormat="false" ht="21.75" hidden="false" customHeight="true" outlineLevel="0" collapsed="false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</row>
    <row r="52" customFormat="false" ht="21.75" hidden="false" customHeight="true" outlineLevel="0" collapsed="false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</row>
    <row r="53" customFormat="false" ht="21.75" hidden="false" customHeight="true" outlineLevel="0" collapsed="false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</row>
    <row r="54" customFormat="false" ht="21.75" hidden="false" customHeight="true" outlineLevel="0" collapsed="false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</row>
    <row r="55" customFormat="false" ht="21.75" hidden="false" customHeight="true" outlineLevel="0" collapsed="false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</row>
    <row r="56" customFormat="false" ht="21.75" hidden="false" customHeight="true" outlineLevel="0" collapsed="false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</row>
    <row r="57" customFormat="false" ht="21.75" hidden="false" customHeight="true" outlineLevel="0" collapsed="false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</row>
    <row r="58" customFormat="false" ht="21.75" hidden="false" customHeight="true" outlineLevel="0" collapsed="false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</row>
    <row r="59" customFormat="false" ht="21.75" hidden="false" customHeight="true" outlineLevel="0" collapsed="false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</row>
    <row r="60" customFormat="false" ht="21.75" hidden="false" customHeight="true" outlineLevel="0" collapsed="false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</row>
    <row r="61" customFormat="false" ht="21.75" hidden="false" customHeight="true" outlineLevel="0" collapsed="false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</row>
    <row r="62" customFormat="false" ht="21.75" hidden="false" customHeight="true" outlineLevel="0" collapsed="false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</row>
    <row r="63" customFormat="false" ht="21.75" hidden="false" customHeight="true" outlineLevel="0" collapsed="false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</row>
    <row r="64" customFormat="false" ht="21.75" hidden="false" customHeight="true" outlineLevel="0" collapsed="false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</row>
    <row r="65" customFormat="false" ht="21.75" hidden="false" customHeight="true" outlineLevel="0" collapsed="false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</row>
    <row r="66" customFormat="false" ht="21.75" hidden="false" customHeight="true" outlineLevel="0" collapsed="false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</row>
    <row r="67" customFormat="false" ht="21.75" hidden="false" customHeight="true" outlineLevel="0" collapsed="false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</row>
    <row r="68" customFormat="false" ht="21.75" hidden="false" customHeight="true" outlineLevel="0" collapsed="false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</row>
    <row r="69" customFormat="false" ht="21.75" hidden="false" customHeight="true" outlineLevel="0" collapsed="false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</row>
    <row r="70" customFormat="false" ht="21.75" hidden="false" customHeight="true" outlineLevel="0" collapsed="false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</row>
    <row r="71" customFormat="false" ht="21.75" hidden="false" customHeight="true" outlineLevel="0" collapsed="false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</row>
    <row r="72" customFormat="false" ht="21.75" hidden="false" customHeight="true" outlineLevel="0" collapsed="false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</row>
    <row r="73" customFormat="false" ht="21.75" hidden="false" customHeight="true" outlineLevel="0" collapsed="false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</row>
    <row r="74" customFormat="false" ht="21.75" hidden="false" customHeight="true" outlineLevel="0" collapsed="false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</row>
    <row r="75" customFormat="false" ht="21.75" hidden="false" customHeight="true" outlineLevel="0" collapsed="false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</row>
    <row r="76" customFormat="false" ht="21.75" hidden="false" customHeight="true" outlineLevel="0" collapsed="false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</row>
    <row r="77" customFormat="false" ht="21.75" hidden="false" customHeight="true" outlineLevel="0" collapsed="false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</row>
    <row r="78" customFormat="false" ht="21.75" hidden="false" customHeight="true" outlineLevel="0" collapsed="false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</row>
    <row r="79" customFormat="false" ht="21.75" hidden="false" customHeight="true" outlineLevel="0" collapsed="false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</row>
    <row r="80" customFormat="false" ht="21.75" hidden="false" customHeight="true" outlineLevel="0" collapsed="false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</row>
    <row r="81" customFormat="false" ht="21.75" hidden="false" customHeight="true" outlineLevel="0" collapsed="false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</row>
    <row r="82" customFormat="false" ht="21.75" hidden="false" customHeight="true" outlineLevel="0" collapsed="false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</row>
    <row r="83" customFormat="false" ht="21.75" hidden="false" customHeight="true" outlineLevel="0" collapsed="false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</row>
    <row r="84" customFormat="false" ht="21.75" hidden="false" customHeight="true" outlineLevel="0" collapsed="false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</row>
    <row r="85" customFormat="false" ht="21.75" hidden="false" customHeight="true" outlineLevel="0" collapsed="false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</row>
    <row r="86" customFormat="false" ht="21.75" hidden="false" customHeight="true" outlineLevel="0" collapsed="false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</row>
    <row r="87" customFormat="false" ht="21.75" hidden="false" customHeight="true" outlineLevel="0" collapsed="false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</row>
    <row r="88" customFormat="false" ht="21.75" hidden="false" customHeight="true" outlineLevel="0" collapsed="false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</row>
    <row r="89" customFormat="false" ht="21.75" hidden="false" customHeight="true" outlineLevel="0" collapsed="false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</row>
    <row r="90" customFormat="false" ht="21.75" hidden="false" customHeight="true" outlineLevel="0" collapsed="false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</row>
    <row r="91" customFormat="false" ht="21.75" hidden="false" customHeight="true" outlineLevel="0" collapsed="false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</row>
    <row r="92" customFormat="false" ht="21.75" hidden="false" customHeight="true" outlineLevel="0" collapsed="false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</row>
    <row r="93" customFormat="false" ht="21.75" hidden="false" customHeight="true" outlineLevel="0" collapsed="false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</row>
    <row r="94" customFormat="false" ht="21.75" hidden="false" customHeight="true" outlineLevel="0" collapsed="false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</row>
    <row r="95" customFormat="false" ht="21.75" hidden="false" customHeight="true" outlineLevel="0" collapsed="false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</row>
    <row r="96" customFormat="false" ht="21.75" hidden="false" customHeight="true" outlineLevel="0" collapsed="false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</row>
    <row r="97" customFormat="false" ht="21.75" hidden="false" customHeight="true" outlineLevel="0" collapsed="false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</row>
    <row r="98" customFormat="false" ht="21.75" hidden="false" customHeight="true" outlineLevel="0" collapsed="false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</row>
    <row r="99" customFormat="false" ht="21.75" hidden="false" customHeight="true" outlineLevel="0" collapsed="false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</row>
    <row r="100" customFormat="false" ht="21.75" hidden="false" customHeight="true" outlineLevel="0" collapsed="false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</row>
    <row r="101" customFormat="false" ht="21.75" hidden="false" customHeight="true" outlineLevel="0" collapsed="false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</row>
    <row r="102" customFormat="false" ht="21.75" hidden="false" customHeight="true" outlineLevel="0" collapsed="false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</row>
    <row r="103" customFormat="false" ht="21.75" hidden="false" customHeight="true" outlineLevel="0" collapsed="false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</row>
    <row r="104" customFormat="false" ht="21.75" hidden="false" customHeight="true" outlineLevel="0" collapsed="false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</row>
    <row r="105" customFormat="false" ht="21.75" hidden="false" customHeight="true" outlineLevel="0" collapsed="false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</row>
    <row r="106" customFormat="false" ht="21.75" hidden="false" customHeight="true" outlineLevel="0" collapsed="false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</row>
    <row r="107" customFormat="false" ht="21.75" hidden="false" customHeight="true" outlineLevel="0" collapsed="false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</row>
    <row r="108" customFormat="false" ht="21.75" hidden="false" customHeight="true" outlineLevel="0" collapsed="false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</row>
    <row r="109" customFormat="false" ht="21.75" hidden="false" customHeight="true" outlineLevel="0" collapsed="false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</row>
    <row r="110" customFormat="false" ht="21.75" hidden="false" customHeight="true" outlineLevel="0" collapsed="false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</row>
    <row r="111" customFormat="false" ht="21.75" hidden="false" customHeight="true" outlineLevel="0" collapsed="false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</row>
    <row r="112" customFormat="false" ht="21.75" hidden="false" customHeight="true" outlineLevel="0" collapsed="false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</row>
    <row r="113" customFormat="false" ht="21.75" hidden="false" customHeight="true" outlineLevel="0" collapsed="false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</row>
    <row r="114" customFormat="false" ht="21.75" hidden="false" customHeight="true" outlineLevel="0" collapsed="false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</row>
    <row r="115" customFormat="false" ht="21.75" hidden="false" customHeight="true" outlineLevel="0" collapsed="false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</row>
    <row r="116" customFormat="false" ht="21.75" hidden="false" customHeight="true" outlineLevel="0" collapsed="false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</row>
    <row r="117" customFormat="false" ht="21.75" hidden="false" customHeight="true" outlineLevel="0" collapsed="false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</row>
    <row r="118" customFormat="false" ht="21.75" hidden="false" customHeight="true" outlineLevel="0" collapsed="false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</row>
    <row r="119" customFormat="false" ht="21.75" hidden="false" customHeight="true" outlineLevel="0" collapsed="false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</row>
    <row r="120" customFormat="false" ht="21.75" hidden="false" customHeight="true" outlineLevel="0" collapsed="false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</row>
    <row r="121" customFormat="false" ht="21.75" hidden="false" customHeight="true" outlineLevel="0" collapsed="false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</row>
    <row r="122" customFormat="false" ht="21.75" hidden="false" customHeight="true" outlineLevel="0" collapsed="false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</row>
    <row r="123" customFormat="false" ht="21.75" hidden="false" customHeight="true" outlineLevel="0" collapsed="false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</row>
    <row r="124" customFormat="false" ht="21.75" hidden="false" customHeight="true" outlineLevel="0" collapsed="false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</row>
    <row r="125" customFormat="false" ht="21.75" hidden="false" customHeight="true" outlineLevel="0" collapsed="false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</row>
    <row r="126" customFormat="false" ht="21.75" hidden="false" customHeight="true" outlineLevel="0" collapsed="false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</row>
    <row r="127" customFormat="false" ht="21.75" hidden="false" customHeight="true" outlineLevel="0" collapsed="false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</row>
    <row r="128" customFormat="false" ht="21.75" hidden="false" customHeight="true" outlineLevel="0" collapsed="false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</row>
    <row r="129" customFormat="false" ht="21.75" hidden="false" customHeight="true" outlineLevel="0" collapsed="false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</row>
    <row r="130" customFormat="false" ht="21.75" hidden="false" customHeight="true" outlineLevel="0" collapsed="false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</row>
    <row r="131" customFormat="false" ht="21.75" hidden="false" customHeight="true" outlineLevel="0" collapsed="false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</row>
    <row r="132" customFormat="false" ht="21.75" hidden="false" customHeight="true" outlineLevel="0" collapsed="false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</row>
    <row r="133" customFormat="false" ht="21.75" hidden="false" customHeight="true" outlineLevel="0" collapsed="false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</row>
    <row r="134" customFormat="false" ht="21.75" hidden="false" customHeight="true" outlineLevel="0" collapsed="false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</row>
    <row r="135" customFormat="false" ht="21.75" hidden="false" customHeight="true" outlineLevel="0" collapsed="false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</row>
    <row r="136" customFormat="false" ht="21.75" hidden="false" customHeight="true" outlineLevel="0" collapsed="false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</row>
    <row r="137" customFormat="false" ht="21.75" hidden="false" customHeight="true" outlineLevel="0" collapsed="false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</row>
    <row r="138" customFormat="false" ht="21.75" hidden="false" customHeight="true" outlineLevel="0" collapsed="false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</row>
    <row r="139" customFormat="false" ht="21.75" hidden="false" customHeight="true" outlineLevel="0" collapsed="false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</row>
    <row r="140" customFormat="false" ht="21.75" hidden="false" customHeight="true" outlineLevel="0" collapsed="false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</row>
    <row r="141" customFormat="false" ht="21.75" hidden="false" customHeight="true" outlineLevel="0" collapsed="false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</row>
    <row r="142" customFormat="false" ht="21.75" hidden="false" customHeight="true" outlineLevel="0" collapsed="false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</row>
    <row r="143" customFormat="false" ht="21.75" hidden="false" customHeight="true" outlineLevel="0" collapsed="false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</row>
    <row r="144" customFormat="false" ht="21.75" hidden="false" customHeight="true" outlineLevel="0" collapsed="false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</row>
    <row r="145" customFormat="false" ht="21.75" hidden="false" customHeight="true" outlineLevel="0" collapsed="false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</row>
    <row r="146" customFormat="false" ht="21.75" hidden="false" customHeight="true" outlineLevel="0" collapsed="false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</row>
    <row r="147" customFormat="false" ht="21.75" hidden="false" customHeight="true" outlineLevel="0" collapsed="false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</row>
    <row r="148" customFormat="false" ht="21.75" hidden="false" customHeight="true" outlineLevel="0" collapsed="false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</row>
    <row r="149" customFormat="false" ht="21.75" hidden="false" customHeight="true" outlineLevel="0" collapsed="false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</row>
    <row r="150" customFormat="false" ht="21.75" hidden="false" customHeight="true" outlineLevel="0" collapsed="false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</row>
    <row r="151" customFormat="false" ht="21.75" hidden="false" customHeight="true" outlineLevel="0" collapsed="false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</row>
    <row r="152" customFormat="false" ht="21.75" hidden="false" customHeight="true" outlineLevel="0" collapsed="false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</row>
    <row r="153" customFormat="false" ht="21.75" hidden="false" customHeight="true" outlineLevel="0" collapsed="false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</row>
    <row r="154" customFormat="false" ht="21.75" hidden="false" customHeight="true" outlineLevel="0" collapsed="false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</row>
    <row r="155" customFormat="false" ht="21.75" hidden="false" customHeight="true" outlineLevel="0" collapsed="false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</row>
    <row r="156" customFormat="false" ht="21.75" hidden="false" customHeight="true" outlineLevel="0" collapsed="false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</row>
    <row r="157" customFormat="false" ht="21.75" hidden="false" customHeight="true" outlineLevel="0" collapsed="false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</row>
    <row r="158" customFormat="false" ht="21.75" hidden="false" customHeight="true" outlineLevel="0" collapsed="false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</row>
    <row r="159" customFormat="false" ht="21.75" hidden="false" customHeight="true" outlineLevel="0" collapsed="false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</row>
    <row r="160" customFormat="false" ht="21.75" hidden="false" customHeight="true" outlineLevel="0" collapsed="false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</row>
    <row r="161" customFormat="false" ht="21.75" hidden="false" customHeight="true" outlineLevel="0" collapsed="false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</row>
    <row r="162" customFormat="false" ht="21.75" hidden="false" customHeight="true" outlineLevel="0" collapsed="false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</row>
    <row r="163" customFormat="false" ht="21.75" hidden="false" customHeight="true" outlineLevel="0" collapsed="false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</row>
    <row r="164" customFormat="false" ht="21.75" hidden="false" customHeight="true" outlineLevel="0" collapsed="false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</row>
    <row r="165" customFormat="false" ht="21.75" hidden="false" customHeight="true" outlineLevel="0" collapsed="false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</row>
    <row r="166" customFormat="false" ht="21.75" hidden="false" customHeight="true" outlineLevel="0" collapsed="false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</row>
    <row r="167" customFormat="false" ht="21.75" hidden="false" customHeight="true" outlineLevel="0" collapsed="false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</row>
    <row r="168" customFormat="false" ht="21.75" hidden="false" customHeight="true" outlineLevel="0" collapsed="false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</row>
    <row r="169" customFormat="false" ht="21.75" hidden="false" customHeight="true" outlineLevel="0" collapsed="false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</row>
    <row r="170" customFormat="false" ht="21.75" hidden="false" customHeight="true" outlineLevel="0" collapsed="false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</row>
    <row r="171" customFormat="false" ht="21.75" hidden="false" customHeight="true" outlineLevel="0" collapsed="false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</row>
    <row r="172" customFormat="false" ht="21.75" hidden="false" customHeight="true" outlineLevel="0" collapsed="false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</row>
    <row r="173" customFormat="false" ht="21.75" hidden="false" customHeight="true" outlineLevel="0" collapsed="false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</row>
    <row r="174" customFormat="false" ht="21.75" hidden="false" customHeight="true" outlineLevel="0" collapsed="false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</row>
    <row r="175" customFormat="false" ht="21.75" hidden="false" customHeight="true" outlineLevel="0" collapsed="false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</row>
    <row r="176" customFormat="false" ht="21.75" hidden="false" customHeight="true" outlineLevel="0" collapsed="false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</row>
    <row r="177" customFormat="false" ht="21.75" hidden="false" customHeight="true" outlineLevel="0" collapsed="false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</row>
    <row r="178" customFormat="false" ht="21.75" hidden="false" customHeight="true" outlineLevel="0" collapsed="false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</row>
    <row r="179" customFormat="false" ht="21.75" hidden="false" customHeight="true" outlineLevel="0" collapsed="false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</row>
    <row r="180" customFormat="false" ht="21.75" hidden="false" customHeight="true" outlineLevel="0" collapsed="false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</row>
    <row r="181" customFormat="false" ht="21.75" hidden="false" customHeight="true" outlineLevel="0" collapsed="false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</row>
    <row r="182" customFormat="false" ht="21.75" hidden="false" customHeight="true" outlineLevel="0" collapsed="false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</row>
    <row r="183" customFormat="false" ht="21.75" hidden="false" customHeight="true" outlineLevel="0" collapsed="false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</row>
    <row r="184" customFormat="false" ht="21.75" hidden="false" customHeight="true" outlineLevel="0" collapsed="false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</row>
    <row r="185" customFormat="false" ht="21.75" hidden="false" customHeight="true" outlineLevel="0" collapsed="false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</row>
    <row r="186" customFormat="false" ht="21.75" hidden="false" customHeight="true" outlineLevel="0" collapsed="false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</row>
    <row r="187" customFormat="false" ht="21.75" hidden="false" customHeight="true" outlineLevel="0" collapsed="false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</row>
    <row r="188" customFormat="false" ht="21.75" hidden="false" customHeight="true" outlineLevel="0" collapsed="false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</row>
    <row r="189" customFormat="false" ht="21.75" hidden="false" customHeight="true" outlineLevel="0" collapsed="false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</row>
    <row r="190" customFormat="false" ht="21.75" hidden="false" customHeight="true" outlineLevel="0" collapsed="false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</row>
    <row r="191" customFormat="false" ht="21.75" hidden="false" customHeight="true" outlineLevel="0" collapsed="false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</row>
    <row r="192" customFormat="false" ht="21.75" hidden="false" customHeight="true" outlineLevel="0" collapsed="false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</row>
    <row r="193" customFormat="false" ht="21.75" hidden="false" customHeight="true" outlineLevel="0" collapsed="false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</row>
    <row r="194" customFormat="false" ht="21.75" hidden="false" customHeight="true" outlineLevel="0" collapsed="false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</row>
    <row r="195" customFormat="false" ht="21.75" hidden="false" customHeight="true" outlineLevel="0" collapsed="false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</row>
    <row r="196" customFormat="false" ht="21.75" hidden="false" customHeight="true" outlineLevel="0" collapsed="false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</row>
    <row r="197" customFormat="false" ht="21.75" hidden="false" customHeight="true" outlineLevel="0" collapsed="false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</row>
    <row r="198" customFormat="false" ht="21.75" hidden="false" customHeight="true" outlineLevel="0" collapsed="false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</row>
    <row r="199" customFormat="false" ht="21.75" hidden="false" customHeight="true" outlineLevel="0" collapsed="false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</row>
    <row r="200" customFormat="false" ht="21.75" hidden="false" customHeight="true" outlineLevel="0" collapsed="false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</row>
    <row r="201" customFormat="false" ht="21.75" hidden="false" customHeight="true" outlineLevel="0" collapsed="false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</row>
    <row r="202" customFormat="false" ht="21.75" hidden="false" customHeight="true" outlineLevel="0" collapsed="false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</row>
    <row r="203" customFormat="false" ht="21.75" hidden="false" customHeight="true" outlineLevel="0" collapsed="false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</row>
    <row r="204" customFormat="false" ht="21.75" hidden="false" customHeight="true" outlineLevel="0" collapsed="false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</row>
    <row r="205" customFormat="false" ht="21.75" hidden="false" customHeight="true" outlineLevel="0" collapsed="false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</row>
    <row r="206" customFormat="false" ht="21.75" hidden="false" customHeight="true" outlineLevel="0" collapsed="false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</row>
    <row r="207" customFormat="false" ht="21.75" hidden="false" customHeight="true" outlineLevel="0" collapsed="false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</row>
    <row r="208" customFormat="false" ht="21.75" hidden="false" customHeight="true" outlineLevel="0" collapsed="false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</row>
    <row r="209" customFormat="false" ht="21.75" hidden="false" customHeight="true" outlineLevel="0" collapsed="false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</row>
    <row r="210" customFormat="false" ht="21.75" hidden="false" customHeight="true" outlineLevel="0" collapsed="false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</row>
    <row r="211" customFormat="false" ht="21.75" hidden="false" customHeight="true" outlineLevel="0" collapsed="false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</row>
    <row r="212" customFormat="false" ht="21.75" hidden="false" customHeight="true" outlineLevel="0" collapsed="false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</row>
    <row r="213" customFormat="false" ht="21.75" hidden="false" customHeight="true" outlineLevel="0" collapsed="false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</row>
    <row r="214" customFormat="false" ht="21.75" hidden="false" customHeight="true" outlineLevel="0" collapsed="false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</row>
    <row r="215" customFormat="false" ht="21.75" hidden="false" customHeight="true" outlineLevel="0" collapsed="false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</row>
    <row r="216" customFormat="false" ht="21.75" hidden="false" customHeight="true" outlineLevel="0" collapsed="false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</row>
    <row r="217" customFormat="false" ht="21.75" hidden="false" customHeight="true" outlineLevel="0" collapsed="false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</row>
    <row r="218" customFormat="false" ht="21.75" hidden="false" customHeight="true" outlineLevel="0" collapsed="false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</row>
    <row r="219" customFormat="false" ht="21.75" hidden="false" customHeight="true" outlineLevel="0" collapsed="false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</row>
    <row r="220" customFormat="false" ht="21.75" hidden="false" customHeight="true" outlineLevel="0" collapsed="false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</row>
    <row r="221" customFormat="false" ht="21.75" hidden="false" customHeight="true" outlineLevel="0" collapsed="false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</row>
    <row r="222" customFormat="false" ht="21.75" hidden="false" customHeight="true" outlineLevel="0" collapsed="false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</row>
    <row r="223" customFormat="false" ht="21.75" hidden="false" customHeight="true" outlineLevel="0" collapsed="false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</row>
    <row r="224" customFormat="false" ht="21.75" hidden="false" customHeight="true" outlineLevel="0" collapsed="false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</row>
    <row r="225" customFormat="false" ht="21.75" hidden="false" customHeight="true" outlineLevel="0" collapsed="false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</row>
    <row r="226" customFormat="false" ht="21.75" hidden="false" customHeight="true" outlineLevel="0" collapsed="false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</row>
    <row r="227" customFormat="false" ht="21.75" hidden="false" customHeight="true" outlineLevel="0" collapsed="false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</row>
    <row r="228" customFormat="false" ht="21.75" hidden="false" customHeight="true" outlineLevel="0" collapsed="false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</row>
    <row r="229" customFormat="false" ht="21.75" hidden="false" customHeight="true" outlineLevel="0" collapsed="false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</row>
    <row r="230" customFormat="false" ht="21.75" hidden="false" customHeight="true" outlineLevel="0" collapsed="false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</row>
    <row r="231" customFormat="false" ht="21.75" hidden="false" customHeight="true" outlineLevel="0" collapsed="false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</row>
    <row r="232" customFormat="false" ht="21.75" hidden="false" customHeight="true" outlineLevel="0" collapsed="false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</row>
    <row r="233" customFormat="false" ht="21.75" hidden="false" customHeight="true" outlineLevel="0" collapsed="false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</row>
    <row r="234" customFormat="false" ht="21.75" hidden="false" customHeight="true" outlineLevel="0" collapsed="false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</row>
    <row r="235" customFormat="false" ht="21.75" hidden="false" customHeight="true" outlineLevel="0" collapsed="false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</row>
    <row r="236" customFormat="false" ht="21.75" hidden="false" customHeight="true" outlineLevel="0" collapsed="false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</row>
    <row r="237" customFormat="false" ht="21.75" hidden="false" customHeight="true" outlineLevel="0" collapsed="false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</row>
    <row r="238" customFormat="false" ht="21.75" hidden="false" customHeight="true" outlineLevel="0" collapsed="false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</row>
    <row r="239" customFormat="false" ht="21.75" hidden="false" customHeight="true" outlineLevel="0" collapsed="false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</row>
    <row r="240" customFormat="false" ht="21.75" hidden="false" customHeight="true" outlineLevel="0" collapsed="false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</row>
    <row r="241" customFormat="false" ht="21.75" hidden="false" customHeight="true" outlineLevel="0" collapsed="false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</row>
    <row r="242" customFormat="false" ht="21.75" hidden="false" customHeight="true" outlineLevel="0" collapsed="false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</row>
    <row r="243" customFormat="false" ht="21.75" hidden="false" customHeight="true" outlineLevel="0" collapsed="false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</row>
    <row r="244" customFormat="false" ht="21.75" hidden="false" customHeight="true" outlineLevel="0" collapsed="false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</row>
    <row r="245" customFormat="false" ht="21.75" hidden="false" customHeight="true" outlineLevel="0" collapsed="false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</row>
    <row r="246" customFormat="false" ht="21.75" hidden="false" customHeight="true" outlineLevel="0" collapsed="false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</row>
    <row r="247" customFormat="false" ht="21.75" hidden="false" customHeight="true" outlineLevel="0" collapsed="false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</row>
    <row r="248" customFormat="false" ht="21.75" hidden="false" customHeight="true" outlineLevel="0" collapsed="false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</row>
    <row r="249" customFormat="false" ht="21.75" hidden="false" customHeight="true" outlineLevel="0" collapsed="false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</row>
    <row r="250" customFormat="false" ht="21.75" hidden="false" customHeight="true" outlineLevel="0" collapsed="false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</row>
    <row r="251" customFormat="false" ht="21.75" hidden="false" customHeight="true" outlineLevel="0" collapsed="false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</row>
    <row r="252" customFormat="false" ht="21.75" hidden="false" customHeight="true" outlineLevel="0" collapsed="false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</row>
    <row r="253" customFormat="false" ht="21.75" hidden="false" customHeight="true" outlineLevel="0" collapsed="false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</row>
    <row r="254" customFormat="false" ht="21.75" hidden="false" customHeight="true" outlineLevel="0" collapsed="false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</row>
    <row r="255" customFormat="false" ht="21.75" hidden="false" customHeight="true" outlineLevel="0" collapsed="false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</row>
    <row r="256" customFormat="false" ht="21.75" hidden="false" customHeight="true" outlineLevel="0" collapsed="false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</row>
    <row r="257" customFormat="false" ht="21.75" hidden="false" customHeight="true" outlineLevel="0" collapsed="false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</row>
    <row r="258" customFormat="false" ht="21.75" hidden="false" customHeight="true" outlineLevel="0" collapsed="false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</row>
    <row r="259" customFormat="false" ht="21.75" hidden="false" customHeight="true" outlineLevel="0" collapsed="false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</row>
    <row r="260" customFormat="false" ht="21.75" hidden="false" customHeight="true" outlineLevel="0" collapsed="false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</row>
    <row r="261" customFormat="false" ht="21.75" hidden="false" customHeight="true" outlineLevel="0" collapsed="false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</row>
    <row r="262" customFormat="false" ht="21.75" hidden="false" customHeight="true" outlineLevel="0" collapsed="false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</row>
    <row r="263" customFormat="false" ht="21.75" hidden="false" customHeight="true" outlineLevel="0" collapsed="false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</row>
    <row r="264" customFormat="false" ht="21.75" hidden="false" customHeight="true" outlineLevel="0" collapsed="false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</row>
    <row r="265" customFormat="false" ht="21.75" hidden="false" customHeight="true" outlineLevel="0" collapsed="false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</row>
    <row r="266" customFormat="false" ht="21.75" hidden="false" customHeight="true" outlineLevel="0" collapsed="false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</row>
    <row r="267" customFormat="false" ht="21.75" hidden="false" customHeight="true" outlineLevel="0" collapsed="false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</row>
    <row r="268" customFormat="false" ht="21.75" hidden="false" customHeight="true" outlineLevel="0" collapsed="false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</row>
    <row r="269" customFormat="false" ht="21.75" hidden="false" customHeight="true" outlineLevel="0" collapsed="false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</row>
    <row r="270" customFormat="false" ht="21.75" hidden="false" customHeight="true" outlineLevel="0" collapsed="false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</row>
    <row r="271" customFormat="false" ht="21.75" hidden="false" customHeight="true" outlineLevel="0" collapsed="false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</row>
    <row r="272" customFormat="false" ht="21.75" hidden="false" customHeight="true" outlineLevel="0" collapsed="false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</row>
    <row r="273" customFormat="false" ht="21.75" hidden="false" customHeight="true" outlineLevel="0" collapsed="false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</row>
    <row r="274" customFormat="false" ht="21.75" hidden="false" customHeight="true" outlineLevel="0" collapsed="false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</row>
    <row r="275" customFormat="false" ht="21.75" hidden="false" customHeight="true" outlineLevel="0" collapsed="false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</row>
    <row r="276" customFormat="false" ht="21.75" hidden="false" customHeight="true" outlineLevel="0" collapsed="false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</row>
    <row r="277" customFormat="false" ht="21.75" hidden="false" customHeight="true" outlineLevel="0" collapsed="false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</row>
    <row r="278" customFormat="false" ht="21.75" hidden="false" customHeight="true" outlineLevel="0" collapsed="false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</row>
    <row r="279" customFormat="false" ht="21.75" hidden="false" customHeight="true" outlineLevel="0" collapsed="false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</row>
    <row r="280" customFormat="false" ht="21.75" hidden="false" customHeight="true" outlineLevel="0" collapsed="false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</row>
    <row r="281" customFormat="false" ht="21.75" hidden="false" customHeight="true" outlineLevel="0" collapsed="false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</row>
    <row r="282" customFormat="false" ht="21.75" hidden="false" customHeight="true" outlineLevel="0" collapsed="false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</row>
    <row r="283" customFormat="false" ht="21.75" hidden="false" customHeight="true" outlineLevel="0" collapsed="false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</row>
    <row r="284" customFormat="false" ht="21.75" hidden="false" customHeight="true" outlineLevel="0" collapsed="false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</row>
    <row r="285" customFormat="false" ht="21.75" hidden="false" customHeight="true" outlineLevel="0" collapsed="false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</row>
    <row r="286" customFormat="false" ht="21.75" hidden="false" customHeight="true" outlineLevel="0" collapsed="false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</row>
    <row r="287" customFormat="false" ht="21.75" hidden="false" customHeight="true" outlineLevel="0" collapsed="false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</row>
    <row r="288" customFormat="false" ht="21.75" hidden="false" customHeight="true" outlineLevel="0" collapsed="false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</row>
    <row r="289" customFormat="false" ht="21.75" hidden="false" customHeight="true" outlineLevel="0" collapsed="false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</row>
    <row r="290" customFormat="false" ht="21.75" hidden="false" customHeight="true" outlineLevel="0" collapsed="false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</row>
    <row r="291" customFormat="false" ht="21.75" hidden="false" customHeight="true" outlineLevel="0" collapsed="false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</row>
    <row r="292" customFormat="false" ht="21.75" hidden="false" customHeight="true" outlineLevel="0" collapsed="false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</row>
    <row r="293" customFormat="false" ht="21.75" hidden="false" customHeight="true" outlineLevel="0" collapsed="false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</row>
    <row r="294" customFormat="false" ht="21.75" hidden="false" customHeight="true" outlineLevel="0" collapsed="false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</row>
    <row r="295" customFormat="false" ht="21.75" hidden="false" customHeight="true" outlineLevel="0" collapsed="false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</row>
    <row r="296" customFormat="false" ht="21.75" hidden="false" customHeight="true" outlineLevel="0" collapsed="false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</row>
    <row r="297" customFormat="false" ht="21.75" hidden="false" customHeight="true" outlineLevel="0" collapsed="false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</row>
    <row r="298" customFormat="false" ht="21.75" hidden="false" customHeight="true" outlineLevel="0" collapsed="false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</row>
    <row r="299" customFormat="false" ht="21.75" hidden="false" customHeight="true" outlineLevel="0" collapsed="false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</row>
    <row r="300" customFormat="false" ht="21.75" hidden="false" customHeight="true" outlineLevel="0" collapsed="false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</row>
    <row r="301" customFormat="false" ht="21.75" hidden="false" customHeight="true" outlineLevel="0" collapsed="false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</row>
    <row r="302" customFormat="false" ht="21.75" hidden="false" customHeight="true" outlineLevel="0" collapsed="false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</row>
    <row r="303" customFormat="false" ht="21.75" hidden="false" customHeight="true" outlineLevel="0" collapsed="false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</row>
    <row r="304" customFormat="false" ht="21.75" hidden="false" customHeight="true" outlineLevel="0" collapsed="false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</row>
    <row r="305" customFormat="false" ht="21.75" hidden="false" customHeight="true" outlineLevel="0" collapsed="false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</row>
    <row r="306" customFormat="false" ht="21.75" hidden="false" customHeight="true" outlineLevel="0" collapsed="false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</row>
    <row r="307" customFormat="false" ht="21.75" hidden="false" customHeight="true" outlineLevel="0" collapsed="false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</row>
    <row r="308" customFormat="false" ht="21.75" hidden="false" customHeight="true" outlineLevel="0" collapsed="false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</row>
    <row r="309" customFormat="false" ht="21.75" hidden="false" customHeight="true" outlineLevel="0" collapsed="false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</row>
    <row r="310" customFormat="false" ht="21.75" hidden="false" customHeight="true" outlineLevel="0" collapsed="false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</row>
    <row r="311" customFormat="false" ht="21.75" hidden="false" customHeight="true" outlineLevel="0" collapsed="false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</row>
    <row r="312" customFormat="false" ht="21.75" hidden="false" customHeight="true" outlineLevel="0" collapsed="false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</row>
    <row r="313" customFormat="false" ht="21.75" hidden="false" customHeight="true" outlineLevel="0" collapsed="false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</row>
    <row r="314" customFormat="false" ht="21.75" hidden="false" customHeight="true" outlineLevel="0" collapsed="false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</row>
    <row r="315" customFormat="false" ht="21.75" hidden="false" customHeight="true" outlineLevel="0" collapsed="false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</row>
    <row r="316" customFormat="false" ht="21.75" hidden="false" customHeight="true" outlineLevel="0" collapsed="false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</row>
    <row r="317" customFormat="false" ht="21.75" hidden="false" customHeight="true" outlineLevel="0" collapsed="false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</row>
    <row r="318" customFormat="false" ht="21.75" hidden="false" customHeight="true" outlineLevel="0" collapsed="false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</row>
    <row r="319" customFormat="false" ht="21.75" hidden="false" customHeight="true" outlineLevel="0" collapsed="false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</row>
    <row r="320" customFormat="false" ht="21.75" hidden="false" customHeight="true" outlineLevel="0" collapsed="false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</row>
    <row r="321" customFormat="false" ht="21.75" hidden="false" customHeight="true" outlineLevel="0" collapsed="false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</row>
    <row r="322" customFormat="false" ht="21.75" hidden="false" customHeight="true" outlineLevel="0" collapsed="false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</row>
    <row r="323" customFormat="false" ht="21.75" hidden="false" customHeight="true" outlineLevel="0" collapsed="false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</row>
    <row r="324" customFormat="false" ht="21.75" hidden="false" customHeight="true" outlineLevel="0" collapsed="false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</row>
    <row r="325" customFormat="false" ht="21.75" hidden="false" customHeight="true" outlineLevel="0" collapsed="false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</row>
    <row r="326" customFormat="false" ht="21.75" hidden="false" customHeight="true" outlineLevel="0" collapsed="false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</row>
    <row r="327" customFormat="false" ht="21.75" hidden="false" customHeight="true" outlineLevel="0" collapsed="false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</row>
    <row r="328" customFormat="false" ht="21.75" hidden="false" customHeight="true" outlineLevel="0" collapsed="false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</row>
    <row r="329" customFormat="false" ht="21.75" hidden="false" customHeight="true" outlineLevel="0" collapsed="false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</row>
    <row r="330" customFormat="false" ht="21.75" hidden="false" customHeight="true" outlineLevel="0" collapsed="false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</row>
    <row r="331" customFormat="false" ht="21.75" hidden="false" customHeight="true" outlineLevel="0" collapsed="false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</row>
    <row r="332" customFormat="false" ht="21.75" hidden="false" customHeight="true" outlineLevel="0" collapsed="false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</row>
    <row r="333" customFormat="false" ht="21.75" hidden="false" customHeight="true" outlineLevel="0" collapsed="false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</row>
    <row r="334" customFormat="false" ht="21.75" hidden="false" customHeight="true" outlineLevel="0" collapsed="false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</row>
    <row r="335" customFormat="false" ht="21.75" hidden="false" customHeight="true" outlineLevel="0" collapsed="false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</row>
    <row r="336" customFormat="false" ht="21.75" hidden="false" customHeight="true" outlineLevel="0" collapsed="false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</row>
    <row r="337" customFormat="false" ht="21.75" hidden="false" customHeight="true" outlineLevel="0" collapsed="false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</row>
    <row r="338" customFormat="false" ht="21.75" hidden="false" customHeight="true" outlineLevel="0" collapsed="false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</row>
    <row r="339" customFormat="false" ht="21.75" hidden="false" customHeight="true" outlineLevel="0" collapsed="false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</row>
    <row r="340" customFormat="false" ht="21.75" hidden="false" customHeight="true" outlineLevel="0" collapsed="false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</row>
    <row r="341" customFormat="false" ht="21.75" hidden="false" customHeight="true" outlineLevel="0" collapsed="false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</row>
    <row r="342" customFormat="false" ht="21.75" hidden="false" customHeight="true" outlineLevel="0" collapsed="false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</row>
    <row r="343" customFormat="false" ht="21.75" hidden="false" customHeight="true" outlineLevel="0" collapsed="false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</row>
    <row r="344" customFormat="false" ht="21.75" hidden="false" customHeight="true" outlineLevel="0" collapsed="false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</row>
    <row r="345" customFormat="false" ht="21.75" hidden="false" customHeight="true" outlineLevel="0" collapsed="false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</row>
    <row r="346" customFormat="false" ht="21.75" hidden="false" customHeight="true" outlineLevel="0" collapsed="false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</row>
    <row r="347" customFormat="false" ht="21.75" hidden="false" customHeight="true" outlineLevel="0" collapsed="false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</row>
    <row r="348" customFormat="false" ht="21.75" hidden="false" customHeight="true" outlineLevel="0" collapsed="false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</row>
    <row r="349" customFormat="false" ht="21.75" hidden="false" customHeight="true" outlineLevel="0" collapsed="false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</row>
    <row r="350" customFormat="false" ht="21.75" hidden="false" customHeight="true" outlineLevel="0" collapsed="false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</row>
    <row r="351" customFormat="false" ht="21.75" hidden="false" customHeight="true" outlineLevel="0" collapsed="false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</row>
    <row r="352" customFormat="false" ht="21.75" hidden="false" customHeight="true" outlineLevel="0" collapsed="false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</row>
    <row r="353" customFormat="false" ht="21.75" hidden="false" customHeight="true" outlineLevel="0" collapsed="false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</row>
    <row r="354" customFormat="false" ht="21.75" hidden="false" customHeight="true" outlineLevel="0" collapsed="false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</row>
    <row r="355" customFormat="false" ht="21.75" hidden="false" customHeight="true" outlineLevel="0" collapsed="false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</row>
    <row r="356" customFormat="false" ht="21.75" hidden="false" customHeight="true" outlineLevel="0" collapsed="false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</row>
    <row r="357" customFormat="false" ht="21.75" hidden="false" customHeight="true" outlineLevel="0" collapsed="false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</row>
    <row r="358" customFormat="false" ht="21.75" hidden="false" customHeight="true" outlineLevel="0" collapsed="false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</row>
    <row r="359" customFormat="false" ht="21.75" hidden="false" customHeight="true" outlineLevel="0" collapsed="false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</row>
    <row r="360" customFormat="false" ht="21.75" hidden="false" customHeight="true" outlineLevel="0" collapsed="false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</row>
    <row r="361" customFormat="false" ht="21.75" hidden="false" customHeight="true" outlineLevel="0" collapsed="false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</row>
    <row r="362" customFormat="false" ht="21.75" hidden="false" customHeight="true" outlineLevel="0" collapsed="false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</row>
    <row r="363" customFormat="false" ht="21.75" hidden="false" customHeight="true" outlineLevel="0" collapsed="false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</row>
    <row r="364" customFormat="false" ht="21.75" hidden="false" customHeight="true" outlineLevel="0" collapsed="false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</row>
    <row r="365" customFormat="false" ht="21.75" hidden="false" customHeight="true" outlineLevel="0" collapsed="false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</row>
    <row r="366" customFormat="false" ht="21.75" hidden="false" customHeight="true" outlineLevel="0" collapsed="false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</row>
    <row r="367" customFormat="false" ht="21.75" hidden="false" customHeight="true" outlineLevel="0" collapsed="false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</row>
    <row r="368" customFormat="false" ht="21.75" hidden="false" customHeight="true" outlineLevel="0" collapsed="false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</row>
    <row r="369" customFormat="false" ht="21.75" hidden="false" customHeight="true" outlineLevel="0" collapsed="false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</row>
    <row r="370" customFormat="false" ht="21.75" hidden="false" customHeight="true" outlineLevel="0" collapsed="false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</row>
    <row r="371" customFormat="false" ht="21.75" hidden="false" customHeight="true" outlineLevel="0" collapsed="false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</row>
    <row r="372" customFormat="false" ht="21.75" hidden="false" customHeight="true" outlineLevel="0" collapsed="false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</row>
    <row r="373" customFormat="false" ht="21.75" hidden="false" customHeight="true" outlineLevel="0" collapsed="false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</row>
    <row r="374" customFormat="false" ht="21.75" hidden="false" customHeight="true" outlineLevel="0" collapsed="false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</row>
    <row r="375" customFormat="false" ht="21.75" hidden="false" customHeight="true" outlineLevel="0" collapsed="false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</row>
    <row r="376" customFormat="false" ht="21.75" hidden="false" customHeight="true" outlineLevel="0" collapsed="false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</row>
    <row r="377" customFormat="false" ht="21.75" hidden="false" customHeight="true" outlineLevel="0" collapsed="false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</row>
    <row r="378" customFormat="false" ht="21.75" hidden="false" customHeight="true" outlineLevel="0" collapsed="false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</row>
    <row r="379" customFormat="false" ht="21.75" hidden="false" customHeight="true" outlineLevel="0" collapsed="false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</row>
    <row r="380" customFormat="false" ht="21.75" hidden="false" customHeight="true" outlineLevel="0" collapsed="false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</row>
    <row r="381" customFormat="false" ht="21.75" hidden="false" customHeight="true" outlineLevel="0" collapsed="false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</row>
    <row r="382" customFormat="false" ht="21.75" hidden="false" customHeight="true" outlineLevel="0" collapsed="false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</row>
    <row r="383" customFormat="false" ht="21.75" hidden="false" customHeight="true" outlineLevel="0" collapsed="false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</row>
    <row r="384" customFormat="false" ht="21.75" hidden="false" customHeight="true" outlineLevel="0" collapsed="false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</row>
    <row r="385" customFormat="false" ht="21.75" hidden="false" customHeight="true" outlineLevel="0" collapsed="false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</row>
    <row r="386" customFormat="false" ht="21.75" hidden="false" customHeight="true" outlineLevel="0" collapsed="false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</row>
    <row r="387" customFormat="false" ht="21.75" hidden="false" customHeight="true" outlineLevel="0" collapsed="false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</row>
    <row r="388" customFormat="false" ht="21.75" hidden="false" customHeight="true" outlineLevel="0" collapsed="false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</row>
    <row r="389" customFormat="false" ht="21.75" hidden="false" customHeight="true" outlineLevel="0" collapsed="false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</row>
    <row r="390" customFormat="false" ht="21.75" hidden="false" customHeight="true" outlineLevel="0" collapsed="false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</row>
    <row r="391" customFormat="false" ht="21.75" hidden="false" customHeight="true" outlineLevel="0" collapsed="false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</row>
    <row r="392" customFormat="false" ht="21.75" hidden="false" customHeight="true" outlineLevel="0" collapsed="false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</row>
    <row r="393" customFormat="false" ht="21.75" hidden="false" customHeight="true" outlineLevel="0" collapsed="false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</row>
    <row r="394" customFormat="false" ht="21.75" hidden="false" customHeight="true" outlineLevel="0" collapsed="false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</row>
    <row r="395" customFormat="false" ht="21.75" hidden="false" customHeight="true" outlineLevel="0" collapsed="false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</row>
    <row r="396" customFormat="false" ht="21.75" hidden="false" customHeight="true" outlineLevel="0" collapsed="false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</row>
    <row r="397" customFormat="false" ht="21.75" hidden="false" customHeight="true" outlineLevel="0" collapsed="false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</row>
    <row r="398" customFormat="false" ht="21.75" hidden="false" customHeight="true" outlineLevel="0" collapsed="false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</row>
    <row r="399" customFormat="false" ht="21.75" hidden="false" customHeight="true" outlineLevel="0" collapsed="false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</row>
    <row r="400" customFormat="false" ht="21.75" hidden="false" customHeight="true" outlineLevel="0" collapsed="false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</row>
    <row r="401" customFormat="false" ht="21.75" hidden="false" customHeight="true" outlineLevel="0" collapsed="false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</row>
    <row r="402" customFormat="false" ht="21.75" hidden="false" customHeight="true" outlineLevel="0" collapsed="false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</row>
    <row r="403" customFormat="false" ht="21.75" hidden="false" customHeight="true" outlineLevel="0" collapsed="false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</row>
    <row r="404" customFormat="false" ht="21.75" hidden="false" customHeight="true" outlineLevel="0" collapsed="false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</row>
    <row r="405" customFormat="false" ht="21.75" hidden="false" customHeight="true" outlineLevel="0" collapsed="false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</row>
    <row r="406" customFormat="false" ht="21.75" hidden="false" customHeight="true" outlineLevel="0" collapsed="false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</row>
    <row r="407" customFormat="false" ht="21.75" hidden="false" customHeight="true" outlineLevel="0" collapsed="false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</row>
    <row r="408" customFormat="false" ht="21.75" hidden="false" customHeight="true" outlineLevel="0" collapsed="false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</row>
    <row r="409" customFormat="false" ht="21.75" hidden="false" customHeight="true" outlineLevel="0" collapsed="false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</row>
    <row r="410" customFormat="false" ht="21.75" hidden="false" customHeight="true" outlineLevel="0" collapsed="false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</row>
    <row r="411" customFormat="false" ht="21.75" hidden="false" customHeight="true" outlineLevel="0" collapsed="false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</row>
    <row r="412" customFormat="false" ht="21.75" hidden="false" customHeight="true" outlineLevel="0" collapsed="false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</row>
    <row r="413" customFormat="false" ht="21.75" hidden="false" customHeight="true" outlineLevel="0" collapsed="false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</row>
    <row r="414" customFormat="false" ht="21.75" hidden="false" customHeight="true" outlineLevel="0" collapsed="false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</row>
    <row r="415" customFormat="false" ht="21.75" hidden="false" customHeight="true" outlineLevel="0" collapsed="false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</row>
    <row r="416" customFormat="false" ht="21.75" hidden="false" customHeight="true" outlineLevel="0" collapsed="false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</row>
    <row r="417" customFormat="false" ht="21.75" hidden="false" customHeight="true" outlineLevel="0" collapsed="false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</row>
    <row r="418" customFormat="false" ht="21.75" hidden="false" customHeight="true" outlineLevel="0" collapsed="false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</row>
    <row r="419" customFormat="false" ht="21.75" hidden="false" customHeight="true" outlineLevel="0" collapsed="false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</row>
    <row r="420" customFormat="false" ht="21.75" hidden="false" customHeight="true" outlineLevel="0" collapsed="false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</row>
    <row r="421" customFormat="false" ht="21.75" hidden="false" customHeight="true" outlineLevel="0" collapsed="false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</row>
    <row r="422" customFormat="false" ht="21.75" hidden="false" customHeight="true" outlineLevel="0" collapsed="false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</row>
    <row r="423" customFormat="false" ht="21.75" hidden="false" customHeight="true" outlineLevel="0" collapsed="false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</row>
    <row r="424" customFormat="false" ht="21.75" hidden="false" customHeight="true" outlineLevel="0" collapsed="false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</row>
    <row r="425" customFormat="false" ht="21.75" hidden="false" customHeight="true" outlineLevel="0" collapsed="false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</row>
    <row r="426" customFormat="false" ht="21.75" hidden="false" customHeight="true" outlineLevel="0" collapsed="false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</row>
    <row r="427" customFormat="false" ht="21.75" hidden="false" customHeight="true" outlineLevel="0" collapsed="false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</row>
    <row r="428" customFormat="false" ht="21.75" hidden="false" customHeight="true" outlineLevel="0" collapsed="false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</row>
    <row r="429" customFormat="false" ht="21.75" hidden="false" customHeight="true" outlineLevel="0" collapsed="false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</row>
    <row r="430" customFormat="false" ht="21.75" hidden="false" customHeight="true" outlineLevel="0" collapsed="false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</row>
    <row r="431" customFormat="false" ht="21.75" hidden="false" customHeight="true" outlineLevel="0" collapsed="false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</row>
    <row r="432" customFormat="false" ht="21.75" hidden="false" customHeight="true" outlineLevel="0" collapsed="false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</row>
    <row r="433" customFormat="false" ht="21.75" hidden="false" customHeight="true" outlineLevel="0" collapsed="false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</row>
    <row r="434" customFormat="false" ht="21.75" hidden="false" customHeight="true" outlineLevel="0" collapsed="false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</row>
    <row r="435" customFormat="false" ht="21.75" hidden="false" customHeight="true" outlineLevel="0" collapsed="false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</row>
    <row r="436" customFormat="false" ht="21.75" hidden="false" customHeight="true" outlineLevel="0" collapsed="false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</row>
    <row r="437" customFormat="false" ht="21.75" hidden="false" customHeight="true" outlineLevel="0" collapsed="false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</row>
    <row r="438" customFormat="false" ht="21.75" hidden="false" customHeight="true" outlineLevel="0" collapsed="false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</row>
    <row r="439" customFormat="false" ht="21.75" hidden="false" customHeight="true" outlineLevel="0" collapsed="false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</row>
    <row r="440" customFormat="false" ht="21.75" hidden="false" customHeight="true" outlineLevel="0" collapsed="false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</row>
    <row r="441" customFormat="false" ht="21.75" hidden="false" customHeight="true" outlineLevel="0" collapsed="false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</row>
    <row r="442" customFormat="false" ht="21.75" hidden="false" customHeight="true" outlineLevel="0" collapsed="false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</row>
    <row r="443" customFormat="false" ht="21.75" hidden="false" customHeight="true" outlineLevel="0" collapsed="false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</row>
    <row r="444" customFormat="false" ht="21.75" hidden="false" customHeight="true" outlineLevel="0" collapsed="false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</row>
    <row r="445" customFormat="false" ht="21.75" hidden="false" customHeight="true" outlineLevel="0" collapsed="false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</row>
    <row r="446" customFormat="false" ht="21.75" hidden="false" customHeight="true" outlineLevel="0" collapsed="false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</row>
    <row r="447" customFormat="false" ht="21.75" hidden="false" customHeight="true" outlineLevel="0" collapsed="false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</row>
    <row r="448" customFormat="false" ht="21.75" hidden="false" customHeight="true" outlineLevel="0" collapsed="false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</row>
    <row r="449" customFormat="false" ht="21.75" hidden="false" customHeight="true" outlineLevel="0" collapsed="false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</row>
    <row r="450" customFormat="false" ht="21.75" hidden="false" customHeight="true" outlineLevel="0" collapsed="false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</row>
    <row r="451" customFormat="false" ht="21.75" hidden="false" customHeight="true" outlineLevel="0" collapsed="false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</row>
    <row r="452" customFormat="false" ht="21.75" hidden="false" customHeight="true" outlineLevel="0" collapsed="false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</row>
    <row r="453" customFormat="false" ht="21.75" hidden="false" customHeight="true" outlineLevel="0" collapsed="false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</row>
    <row r="454" customFormat="false" ht="21.75" hidden="false" customHeight="true" outlineLevel="0" collapsed="false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</row>
    <row r="455" customFormat="false" ht="21.75" hidden="false" customHeight="true" outlineLevel="0" collapsed="false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</row>
    <row r="456" customFormat="false" ht="21.75" hidden="false" customHeight="true" outlineLevel="0" collapsed="false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</row>
    <row r="457" customFormat="false" ht="21.75" hidden="false" customHeight="true" outlineLevel="0" collapsed="false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</row>
    <row r="458" customFormat="false" ht="21.75" hidden="false" customHeight="true" outlineLevel="0" collapsed="false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</row>
    <row r="459" customFormat="false" ht="21.75" hidden="false" customHeight="true" outlineLevel="0" collapsed="false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</row>
    <row r="460" customFormat="false" ht="21.75" hidden="false" customHeight="true" outlineLevel="0" collapsed="false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</row>
    <row r="461" customFormat="false" ht="21.75" hidden="false" customHeight="true" outlineLevel="0" collapsed="false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</row>
    <row r="462" customFormat="false" ht="21.75" hidden="false" customHeight="true" outlineLevel="0" collapsed="false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</row>
    <row r="463" customFormat="false" ht="21.75" hidden="false" customHeight="true" outlineLevel="0" collapsed="false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</row>
    <row r="464" customFormat="false" ht="21.75" hidden="false" customHeight="true" outlineLevel="0" collapsed="false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</row>
    <row r="465" customFormat="false" ht="21.75" hidden="false" customHeight="true" outlineLevel="0" collapsed="false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</row>
    <row r="466" customFormat="false" ht="21.75" hidden="false" customHeight="true" outlineLevel="0" collapsed="false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</row>
    <row r="467" customFormat="false" ht="21.75" hidden="false" customHeight="true" outlineLevel="0" collapsed="false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</row>
    <row r="468" customFormat="false" ht="21.75" hidden="false" customHeight="true" outlineLevel="0" collapsed="false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</row>
    <row r="469" customFormat="false" ht="21.75" hidden="false" customHeight="true" outlineLevel="0" collapsed="false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</row>
    <row r="470" customFormat="false" ht="21.75" hidden="false" customHeight="true" outlineLevel="0" collapsed="false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</row>
    <row r="471" customFormat="false" ht="21.75" hidden="false" customHeight="true" outlineLevel="0" collapsed="false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</row>
    <row r="472" customFormat="false" ht="21.75" hidden="false" customHeight="true" outlineLevel="0" collapsed="false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</row>
    <row r="473" customFormat="false" ht="21.75" hidden="false" customHeight="true" outlineLevel="0" collapsed="false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</row>
    <row r="474" customFormat="false" ht="21.75" hidden="false" customHeight="true" outlineLevel="0" collapsed="false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</row>
    <row r="475" customFormat="false" ht="21.75" hidden="false" customHeight="true" outlineLevel="0" collapsed="false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</row>
    <row r="476" customFormat="false" ht="21.75" hidden="false" customHeight="true" outlineLevel="0" collapsed="false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</row>
    <row r="477" customFormat="false" ht="21.75" hidden="false" customHeight="true" outlineLevel="0" collapsed="false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</row>
    <row r="478" customFormat="false" ht="21.75" hidden="false" customHeight="true" outlineLevel="0" collapsed="false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</row>
    <row r="479" customFormat="false" ht="21.75" hidden="false" customHeight="true" outlineLevel="0" collapsed="false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</row>
    <row r="480" customFormat="false" ht="21.75" hidden="false" customHeight="true" outlineLevel="0" collapsed="false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</row>
    <row r="481" customFormat="false" ht="21.75" hidden="false" customHeight="true" outlineLevel="0" collapsed="false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</row>
    <row r="482" customFormat="false" ht="21.75" hidden="false" customHeight="true" outlineLevel="0" collapsed="false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</row>
    <row r="483" customFormat="false" ht="21.75" hidden="false" customHeight="true" outlineLevel="0" collapsed="false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</row>
    <row r="484" customFormat="false" ht="21.75" hidden="false" customHeight="true" outlineLevel="0" collapsed="false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</row>
    <row r="485" customFormat="false" ht="21.75" hidden="false" customHeight="true" outlineLevel="0" collapsed="false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</row>
    <row r="486" customFormat="false" ht="21.75" hidden="false" customHeight="true" outlineLevel="0" collapsed="false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</row>
    <row r="487" customFormat="false" ht="21.75" hidden="false" customHeight="true" outlineLevel="0" collapsed="false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</row>
    <row r="488" customFormat="false" ht="21.75" hidden="false" customHeight="true" outlineLevel="0" collapsed="false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</row>
    <row r="489" customFormat="false" ht="21.75" hidden="false" customHeight="true" outlineLevel="0" collapsed="false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</row>
    <row r="490" customFormat="false" ht="21.75" hidden="false" customHeight="true" outlineLevel="0" collapsed="false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</row>
    <row r="491" customFormat="false" ht="21.75" hidden="false" customHeight="true" outlineLevel="0" collapsed="false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</row>
    <row r="492" customFormat="false" ht="21.75" hidden="false" customHeight="true" outlineLevel="0" collapsed="false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</row>
    <row r="493" customFormat="false" ht="21.75" hidden="false" customHeight="true" outlineLevel="0" collapsed="false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</row>
    <row r="494" customFormat="false" ht="21.75" hidden="false" customHeight="true" outlineLevel="0" collapsed="false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</row>
    <row r="495" customFormat="false" ht="21.75" hidden="false" customHeight="true" outlineLevel="0" collapsed="false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</row>
    <row r="496" customFormat="false" ht="21.75" hidden="false" customHeight="true" outlineLevel="0" collapsed="false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</row>
    <row r="497" customFormat="false" ht="21.75" hidden="false" customHeight="true" outlineLevel="0" collapsed="false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</row>
    <row r="498" customFormat="false" ht="21.75" hidden="false" customHeight="true" outlineLevel="0" collapsed="false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</row>
    <row r="499" customFormat="false" ht="21.75" hidden="false" customHeight="true" outlineLevel="0" collapsed="false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</row>
    <row r="500" customFormat="false" ht="21.75" hidden="false" customHeight="true" outlineLevel="0" collapsed="false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</row>
    <row r="501" customFormat="false" ht="21.75" hidden="false" customHeight="true" outlineLevel="0" collapsed="false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</row>
  </sheetData>
  <conditionalFormatting sqref="H2:H5001">
    <cfRule type="expression" priority="2" aboveAverage="0" equalAverage="0" bottom="0" percent="0" rank="0" text="" dxfId="2">
      <formula>$H2="Nouveau lead"</formula>
    </cfRule>
    <cfRule type="expression" priority="3" aboveAverage="0" equalAverage="0" bottom="0" percent="0" rank="0" text="" dxfId="10">
      <formula>$H2="Contacté"</formula>
    </cfRule>
    <cfRule type="expression" priority="4" aboveAverage="0" equalAverage="0" bottom="0" percent="0" rank="0" text="" dxfId="1">
      <formula>$H2="RDV planifié"</formula>
    </cfRule>
    <cfRule type="expression" priority="5" aboveAverage="0" equalAverage="0" bottom="0" percent="0" rank="0" text="" dxfId="11">
      <formula>$H2="Essai"</formula>
    </cfRule>
    <cfRule type="expression" priority="6" aboveAverage="0" equalAverage="0" bottom="0" percent="0" rank="0" text="" dxfId="3">
      <formula>$H2="Négociation"</formula>
    </cfRule>
    <cfRule type="expression" priority="7" aboveAverage="0" equalAverage="0" bottom="0" percent="0" rank="0" text="" dxfId="5">
      <formula>$H2="Réservé"</formula>
    </cfRule>
    <cfRule type="expression" priority="8" aboveAverage="0" equalAverage="0" bottom="0" percent="0" rank="0" text="" dxfId="12">
      <formula>$H2="Vendu"</formula>
    </cfRule>
    <cfRule type="expression" priority="9" aboveAverage="0" equalAverage="0" bottom="0" percent="0" rank="0" text="" dxfId="4">
      <formula>$H2="Perdu"</formula>
    </cfRule>
  </conditionalFormatting>
  <conditionalFormatting sqref="L2:L5001">
    <cfRule type="expression" priority="10" aboveAverage="0" equalAverage="0" bottom="0" percent="0" rank="0" text="" dxfId="7">
      <formula>AND(L2&lt;&gt;"",TODAY()-L2&gt;7,H2&lt;&gt;"Vendu",H2&lt;&gt;"Perdu")</formula>
    </cfRule>
  </conditionalFormatting>
  <conditionalFormatting sqref="I2:I5001">
    <cfRule type="expression" priority="11" aboveAverage="0" equalAverage="0" bottom="0" percent="0" rank="0" text="" dxfId="1">
      <formula>$I2="🔥 Chaud"</formula>
    </cfRule>
  </conditionalFormatting>
  <dataValidations count="4">
    <dataValidation allowBlank="false" errorStyle="stop" operator="between" showDropDown="false" showErrorMessage="false" showInputMessage="false" sqref="H2:H1501" type="list">
      <formula1>"Nouveau lead,Contacté,RDV planifié,Essai,Négociation,Réservé,Vendu,Perdu"</formula1>
      <formula2>0</formula2>
    </dataValidation>
    <dataValidation allowBlank="false" errorStyle="stop" operator="between" showDropDown="false" showErrorMessage="false" showInputMessage="false" sqref="I2:I1501" type="list">
      <formula1>"🔥 Chaud,🌡️ Tiède,❄️ Froid,💀 Perdu"</formula1>
      <formula2>0</formula2>
    </dataValidation>
    <dataValidation allowBlank="false" errorStyle="stop" operator="between" showDropDown="false" showErrorMessage="false" showInputMessage="false" sqref="S2:S1501" type="list">
      <formula1>"🔴 Urgente,🟠 Haute,🟡 Normale,🟢 Basse"</formula1>
      <formula2>0</formula2>
    </dataValidation>
    <dataValidation allowBlank="false" errorStyle="stop" operator="between" showDropDown="false" showErrorMessage="false" showInputMessage="false" sqref="F2:F1501" type="list">
      <formula1>"LeBonCoin,Autosphere,LaArgus,Bouche à oreille,Réseaux sociaux,Site web,Walk-in,Tel entrant,Partenaire,Autre"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3946"/>
    <pageSetUpPr fitToPage="false"/>
  </sheetPr>
  <dimension ref="A1:X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1"/>
    <col collapsed="false" customWidth="true" hidden="false" outlineLevel="0" max="4" min="4" style="1" width="18"/>
    <col collapsed="false" customWidth="true" hidden="false" outlineLevel="0" max="5" min="5" style="1" width="11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13" min="8" style="1" width="13"/>
    <col collapsed="false" customWidth="true" hidden="false" outlineLevel="0" max="14" min="14" style="1" width="11"/>
    <col collapsed="false" customWidth="true" hidden="false" outlineLevel="0" max="15" min="15" style="1" width="9"/>
    <col collapsed="false" customWidth="true" hidden="false" outlineLevel="0" max="16" min="16" style="1" width="14"/>
    <col collapsed="false" customWidth="true" hidden="false" outlineLevel="0" max="17" min="17" style="1" width="10"/>
    <col collapsed="false" customWidth="true" hidden="false" outlineLevel="0" max="19" min="18" style="1" width="13"/>
    <col collapsed="false" customWidth="true" hidden="false" outlineLevel="0" max="20" min="20" style="1" width="14"/>
    <col collapsed="false" customWidth="true" hidden="false" outlineLevel="0" max="21" min="21" style="1" width="12"/>
    <col collapsed="false" customWidth="true" hidden="false" outlineLevel="0" max="22" min="22" style="1" width="13"/>
    <col collapsed="false" customWidth="true" hidden="false" outlineLevel="0" max="23" min="23" style="1" width="12"/>
    <col collapsed="false" customWidth="true" hidden="false" outlineLevel="0" max="24" min="24" style="1" width="22"/>
  </cols>
  <sheetData>
    <row r="1" customFormat="false" ht="37.5" hidden="false" customHeight="true" outlineLevel="0" collapsed="false">
      <c r="A1" s="48" t="s">
        <v>93</v>
      </c>
      <c r="B1" s="48" t="s">
        <v>94</v>
      </c>
      <c r="C1" s="48" t="s">
        <v>95</v>
      </c>
      <c r="D1" s="48" t="s">
        <v>71</v>
      </c>
      <c r="E1" s="48" t="s">
        <v>69</v>
      </c>
      <c r="F1" s="48" t="s">
        <v>96</v>
      </c>
      <c r="G1" s="48" t="s">
        <v>97</v>
      </c>
      <c r="H1" s="48" t="s">
        <v>30</v>
      </c>
      <c r="I1" s="49" t="s">
        <v>98</v>
      </c>
      <c r="J1" s="48" t="s">
        <v>99</v>
      </c>
      <c r="K1" s="48" t="s">
        <v>100</v>
      </c>
      <c r="L1" s="48" t="s">
        <v>64</v>
      </c>
      <c r="M1" s="49" t="s">
        <v>66</v>
      </c>
      <c r="N1" s="48" t="s">
        <v>101</v>
      </c>
      <c r="O1" s="48" t="s">
        <v>102</v>
      </c>
      <c r="P1" s="48" t="s">
        <v>103</v>
      </c>
      <c r="Q1" s="48" t="s">
        <v>104</v>
      </c>
      <c r="R1" s="48" t="s">
        <v>105</v>
      </c>
      <c r="S1" s="48" t="s">
        <v>106</v>
      </c>
      <c r="T1" s="48" t="s">
        <v>107</v>
      </c>
      <c r="U1" s="48" t="s">
        <v>108</v>
      </c>
      <c r="V1" s="48" t="s">
        <v>109</v>
      </c>
      <c r="W1" s="48" t="s">
        <v>89</v>
      </c>
      <c r="X1" s="48" t="s">
        <v>73</v>
      </c>
    </row>
    <row r="2" customFormat="false" ht="21.75" hidden="false" customHeight="true" outlineLevel="0" collapsed="false">
      <c r="A2" s="37"/>
      <c r="B2" s="37"/>
      <c r="C2" s="37"/>
      <c r="D2" s="37"/>
      <c r="E2" s="37"/>
      <c r="F2" s="37"/>
      <c r="G2" s="37"/>
      <c r="H2" s="37"/>
      <c r="I2" s="37"/>
      <c r="J2" s="38" t="str">
        <f aca="false">IF(I2="","",ROUND(I2/1.2,2))</f>
        <v/>
      </c>
      <c r="K2" s="37"/>
      <c r="L2" s="38" t="str">
        <f aca="false">IF(OR(I2="",K2=""),"",I2-K2)</f>
        <v/>
      </c>
      <c r="M2" s="38" t="str">
        <f aca="false">IF(L2="","",L2-N2)</f>
        <v/>
      </c>
      <c r="N2" s="40" t="str">
        <f aca="false">IF(L2="","",ROUND(L2/6,2))</f>
        <v/>
      </c>
      <c r="O2" s="39" t="str">
        <f aca="false">IF(OR(K2="",K2=0),"",M2/K2)</f>
        <v/>
      </c>
      <c r="P2" s="37"/>
      <c r="Q2" s="37"/>
      <c r="R2" s="37"/>
      <c r="S2" s="37"/>
      <c r="T2" s="37"/>
      <c r="U2" s="37"/>
      <c r="V2" s="37"/>
      <c r="W2" s="37"/>
      <c r="X2" s="37"/>
    </row>
    <row r="3" customFormat="false" ht="21.75" hidden="false" customHeight="true" outlineLevel="0" collapsed="false">
      <c r="A3" s="42"/>
      <c r="B3" s="42"/>
      <c r="C3" s="42"/>
      <c r="D3" s="42"/>
      <c r="E3" s="42"/>
      <c r="F3" s="42"/>
      <c r="G3" s="42"/>
      <c r="H3" s="42"/>
      <c r="I3" s="42"/>
      <c r="J3" s="43" t="str">
        <f aca="false">IF(I3="","",ROUND(I3/1.2,2))</f>
        <v/>
      </c>
      <c r="K3" s="42"/>
      <c r="L3" s="43" t="str">
        <f aca="false">IF(OR(I3="",K3=""),"",I3-K3)</f>
        <v/>
      </c>
      <c r="M3" s="43" t="str">
        <f aca="false">IF(L3="","",L3-N3)</f>
        <v/>
      </c>
      <c r="N3" s="45" t="str">
        <f aca="false">IF(L3="","",ROUND(L3/6,2))</f>
        <v/>
      </c>
      <c r="O3" s="44" t="str">
        <f aca="false">IF(OR(K3="",K3=0),"",M3/K3)</f>
        <v/>
      </c>
      <c r="P3" s="42"/>
      <c r="Q3" s="42"/>
      <c r="R3" s="42"/>
      <c r="S3" s="42"/>
      <c r="T3" s="42"/>
      <c r="U3" s="42"/>
      <c r="V3" s="42"/>
      <c r="W3" s="42"/>
      <c r="X3" s="42"/>
    </row>
    <row r="4" customFormat="false" ht="21.75" hidden="false" customHeight="true" outlineLevel="0" collapsed="false">
      <c r="A4" s="37"/>
      <c r="B4" s="37"/>
      <c r="C4" s="37"/>
      <c r="D4" s="37"/>
      <c r="E4" s="37"/>
      <c r="F4" s="37"/>
      <c r="G4" s="37"/>
      <c r="H4" s="37"/>
      <c r="I4" s="37"/>
      <c r="J4" s="38" t="str">
        <f aca="false">IF(I4="","",ROUND(I4/1.2,2))</f>
        <v/>
      </c>
      <c r="K4" s="37"/>
      <c r="L4" s="38" t="str">
        <f aca="false">IF(OR(I4="",K4=""),"",I4-K4)</f>
        <v/>
      </c>
      <c r="M4" s="38" t="str">
        <f aca="false">IF(L4="","",L4-N4)</f>
        <v/>
      </c>
      <c r="N4" s="40" t="str">
        <f aca="false">IF(L4="","",ROUND(L4/6,2))</f>
        <v/>
      </c>
      <c r="O4" s="39" t="str">
        <f aca="false">IF(OR(K4="",K4=0),"",M4/K4)</f>
        <v/>
      </c>
      <c r="P4" s="37"/>
      <c r="Q4" s="37"/>
      <c r="R4" s="37"/>
      <c r="S4" s="37"/>
      <c r="T4" s="37"/>
      <c r="U4" s="37"/>
      <c r="V4" s="37"/>
      <c r="W4" s="37"/>
      <c r="X4" s="37"/>
    </row>
    <row r="5" customFormat="false" ht="21.75" hidden="false" customHeight="true" outlineLevel="0" collapsed="false">
      <c r="A5" s="42"/>
      <c r="B5" s="42"/>
      <c r="C5" s="42"/>
      <c r="D5" s="42"/>
      <c r="E5" s="42"/>
      <c r="F5" s="42"/>
      <c r="G5" s="42"/>
      <c r="H5" s="42"/>
      <c r="I5" s="42"/>
      <c r="J5" s="43" t="str">
        <f aca="false">IF(I5="","",ROUND(I5/1.2,2))</f>
        <v/>
      </c>
      <c r="K5" s="42"/>
      <c r="L5" s="43" t="str">
        <f aca="false">IF(OR(I5="",K5=""),"",I5-K5)</f>
        <v/>
      </c>
      <c r="M5" s="43" t="str">
        <f aca="false">IF(L5="","",L5-N5)</f>
        <v/>
      </c>
      <c r="N5" s="45" t="str">
        <f aca="false">IF(L5="","",ROUND(L5/6,2))</f>
        <v/>
      </c>
      <c r="O5" s="44" t="str">
        <f aca="false">IF(OR(K5="",K5=0),"",M5/K5)</f>
        <v/>
      </c>
      <c r="P5" s="42"/>
      <c r="Q5" s="42"/>
      <c r="R5" s="42"/>
      <c r="S5" s="42"/>
      <c r="T5" s="42"/>
      <c r="U5" s="42"/>
      <c r="V5" s="42"/>
      <c r="W5" s="42"/>
      <c r="X5" s="42"/>
    </row>
    <row r="6" customFormat="false" ht="21.75" hidden="false" customHeight="true" outlineLevel="0" collapsed="false">
      <c r="A6" s="37"/>
      <c r="B6" s="37"/>
      <c r="C6" s="37"/>
      <c r="D6" s="37"/>
      <c r="E6" s="37"/>
      <c r="F6" s="37"/>
      <c r="G6" s="37"/>
      <c r="H6" s="37"/>
      <c r="I6" s="37"/>
      <c r="J6" s="38" t="str">
        <f aca="false">IF(I6="","",ROUND(I6/1.2,2))</f>
        <v/>
      </c>
      <c r="K6" s="37"/>
      <c r="L6" s="38" t="str">
        <f aca="false">IF(OR(I6="",K6=""),"",I6-K6)</f>
        <v/>
      </c>
      <c r="M6" s="38" t="str">
        <f aca="false">IF(L6="","",L6-N6)</f>
        <v/>
      </c>
      <c r="N6" s="40" t="str">
        <f aca="false">IF(L6="","",ROUND(L6/6,2))</f>
        <v/>
      </c>
      <c r="O6" s="39" t="str">
        <f aca="false">IF(OR(K6="",K6=0),"",M6/K6)</f>
        <v/>
      </c>
      <c r="P6" s="37"/>
      <c r="Q6" s="37"/>
      <c r="R6" s="37"/>
      <c r="S6" s="37"/>
      <c r="T6" s="37"/>
      <c r="U6" s="37"/>
      <c r="V6" s="37"/>
      <c r="W6" s="37"/>
      <c r="X6" s="37"/>
    </row>
    <row r="7" customFormat="false" ht="21.75" hidden="false" customHeight="true" outlineLevel="0" collapsed="false">
      <c r="A7" s="42"/>
      <c r="B7" s="42"/>
      <c r="C7" s="42"/>
      <c r="D7" s="42"/>
      <c r="E7" s="42"/>
      <c r="F7" s="42"/>
      <c r="G7" s="42"/>
      <c r="H7" s="42"/>
      <c r="I7" s="42"/>
      <c r="J7" s="43" t="str">
        <f aca="false">IF(I7="","",ROUND(I7/1.2,2))</f>
        <v/>
      </c>
      <c r="K7" s="42"/>
      <c r="L7" s="43" t="str">
        <f aca="false">IF(OR(I7="",K7=""),"",I7-K7)</f>
        <v/>
      </c>
      <c r="M7" s="43" t="str">
        <f aca="false">IF(L7="","",L7-N7)</f>
        <v/>
      </c>
      <c r="N7" s="45" t="str">
        <f aca="false">IF(L7="","",ROUND(L7/6,2))</f>
        <v/>
      </c>
      <c r="O7" s="44" t="str">
        <f aca="false">IF(OR(K7="",K7=0),"",M7/K7)</f>
        <v/>
      </c>
      <c r="P7" s="42"/>
      <c r="Q7" s="42"/>
      <c r="R7" s="42"/>
      <c r="S7" s="42"/>
      <c r="T7" s="42"/>
      <c r="U7" s="42"/>
      <c r="V7" s="42"/>
      <c r="W7" s="42"/>
      <c r="X7" s="42"/>
    </row>
    <row r="8" customFormat="false" ht="21.75" hidden="false" customHeight="true" outlineLevel="0" collapsed="false">
      <c r="A8" s="37"/>
      <c r="B8" s="37"/>
      <c r="C8" s="37"/>
      <c r="D8" s="37"/>
      <c r="E8" s="37"/>
      <c r="F8" s="37"/>
      <c r="G8" s="37"/>
      <c r="H8" s="37"/>
      <c r="I8" s="37"/>
      <c r="J8" s="38" t="str">
        <f aca="false">IF(I8="","",ROUND(I8/1.2,2))</f>
        <v/>
      </c>
      <c r="K8" s="37"/>
      <c r="L8" s="38" t="str">
        <f aca="false">IF(OR(I8="",K8=""),"",I8-K8)</f>
        <v/>
      </c>
      <c r="M8" s="38" t="str">
        <f aca="false">IF(L8="","",L8-N8)</f>
        <v/>
      </c>
      <c r="N8" s="40" t="str">
        <f aca="false">IF(L8="","",ROUND(L8/6,2))</f>
        <v/>
      </c>
      <c r="O8" s="39" t="str">
        <f aca="false">IF(OR(K8="",K8=0),"",M8/K8)</f>
        <v/>
      </c>
      <c r="P8" s="37"/>
      <c r="Q8" s="37"/>
      <c r="R8" s="37"/>
      <c r="S8" s="37"/>
      <c r="T8" s="37"/>
      <c r="U8" s="37"/>
      <c r="V8" s="37"/>
      <c r="W8" s="37"/>
      <c r="X8" s="37"/>
    </row>
    <row r="9" customFormat="false" ht="21.75" hidden="false" customHeight="true" outlineLevel="0" collapsed="false">
      <c r="A9" s="42"/>
      <c r="B9" s="42"/>
      <c r="C9" s="42"/>
      <c r="D9" s="42"/>
      <c r="E9" s="42"/>
      <c r="F9" s="42"/>
      <c r="G9" s="42"/>
      <c r="H9" s="42"/>
      <c r="I9" s="42"/>
      <c r="J9" s="43" t="str">
        <f aca="false">IF(I9="","",ROUND(I9/1.2,2))</f>
        <v/>
      </c>
      <c r="K9" s="42"/>
      <c r="L9" s="43" t="str">
        <f aca="false">IF(OR(I9="",K9=""),"",I9-K9)</f>
        <v/>
      </c>
      <c r="M9" s="43" t="str">
        <f aca="false">IF(L9="","",L9-N9)</f>
        <v/>
      </c>
      <c r="N9" s="45" t="str">
        <f aca="false">IF(L9="","",ROUND(L9/6,2))</f>
        <v/>
      </c>
      <c r="O9" s="44" t="str">
        <f aca="false">IF(OR(K9="",K9=0),"",M9/K9)</f>
        <v/>
      </c>
      <c r="P9" s="42"/>
      <c r="Q9" s="42"/>
      <c r="R9" s="42"/>
      <c r="S9" s="42"/>
      <c r="T9" s="42"/>
      <c r="U9" s="42"/>
      <c r="V9" s="42"/>
      <c r="W9" s="42"/>
      <c r="X9" s="42"/>
    </row>
    <row r="10" customFormat="false" ht="21.75" hidden="false" customHeight="true" outlineLevel="0" collapsed="false">
      <c r="A10" s="37"/>
      <c r="B10" s="37"/>
      <c r="C10" s="37"/>
      <c r="D10" s="37"/>
      <c r="E10" s="37"/>
      <c r="F10" s="37"/>
      <c r="G10" s="37"/>
      <c r="H10" s="37"/>
      <c r="I10" s="37"/>
      <c r="J10" s="38" t="str">
        <f aca="false">IF(I10="","",ROUND(I10/1.2,2))</f>
        <v/>
      </c>
      <c r="K10" s="37"/>
      <c r="L10" s="38" t="str">
        <f aca="false">IF(OR(I10="",K10=""),"",I10-K10)</f>
        <v/>
      </c>
      <c r="M10" s="38" t="str">
        <f aca="false">IF(L10="","",L10-N10)</f>
        <v/>
      </c>
      <c r="N10" s="40" t="str">
        <f aca="false">IF(L10="","",ROUND(L10/6,2))</f>
        <v/>
      </c>
      <c r="O10" s="39" t="str">
        <f aca="false">IF(OR(K10="",K10=0),"",M10/K10)</f>
        <v/>
      </c>
      <c r="P10" s="37"/>
      <c r="Q10" s="37"/>
      <c r="R10" s="37"/>
      <c r="S10" s="37"/>
      <c r="T10" s="37"/>
      <c r="U10" s="37"/>
      <c r="V10" s="37"/>
      <c r="W10" s="37"/>
      <c r="X10" s="37"/>
    </row>
    <row r="11" customFormat="false" ht="21.75" hidden="false" customHeight="true" outlineLevel="0" collapsed="false">
      <c r="A11" s="42"/>
      <c r="B11" s="42"/>
      <c r="C11" s="42"/>
      <c r="D11" s="42"/>
      <c r="E11" s="42"/>
      <c r="F11" s="42"/>
      <c r="G11" s="42"/>
      <c r="H11" s="42"/>
      <c r="I11" s="42"/>
      <c r="J11" s="43" t="str">
        <f aca="false">IF(I11="","",ROUND(I11/1.2,2))</f>
        <v/>
      </c>
      <c r="K11" s="42"/>
      <c r="L11" s="43" t="str">
        <f aca="false">IF(OR(I11="",K11=""),"",I11-K11)</f>
        <v/>
      </c>
      <c r="M11" s="43" t="str">
        <f aca="false">IF(L11="","",L11-N11)</f>
        <v/>
      </c>
      <c r="N11" s="45" t="str">
        <f aca="false">IF(L11="","",ROUND(L11/6,2))</f>
        <v/>
      </c>
      <c r="O11" s="44" t="str">
        <f aca="false">IF(OR(K11="",K11=0),"",M11/K11)</f>
        <v/>
      </c>
      <c r="P11" s="42"/>
      <c r="Q11" s="42"/>
      <c r="R11" s="42"/>
      <c r="S11" s="42"/>
      <c r="T11" s="42"/>
      <c r="U11" s="42"/>
      <c r="V11" s="42"/>
      <c r="W11" s="42"/>
      <c r="X11" s="42"/>
    </row>
    <row r="12" customFormat="false" ht="21.75" hidden="false" customHeight="true" outlineLevel="0" collapsed="false">
      <c r="A12" s="37"/>
      <c r="B12" s="37"/>
      <c r="C12" s="37"/>
      <c r="D12" s="37"/>
      <c r="E12" s="37"/>
      <c r="F12" s="37"/>
      <c r="G12" s="37"/>
      <c r="H12" s="37"/>
      <c r="I12" s="37"/>
      <c r="J12" s="38" t="str">
        <f aca="false">IF(I12="","",ROUND(I12/1.2,2))</f>
        <v/>
      </c>
      <c r="K12" s="37"/>
      <c r="L12" s="38" t="str">
        <f aca="false">IF(OR(I12="",K12=""),"",I12-K12)</f>
        <v/>
      </c>
      <c r="M12" s="38" t="str">
        <f aca="false">IF(L12="","",L12-N12)</f>
        <v/>
      </c>
      <c r="N12" s="40" t="str">
        <f aca="false">IF(L12="","",ROUND(L12/6,2))</f>
        <v/>
      </c>
      <c r="O12" s="39" t="str">
        <f aca="false">IF(OR(K12="",K12=0),"",M12/K12)</f>
        <v/>
      </c>
      <c r="P12" s="37"/>
      <c r="Q12" s="37"/>
      <c r="R12" s="37"/>
      <c r="S12" s="37"/>
      <c r="T12" s="37"/>
      <c r="U12" s="37"/>
      <c r="V12" s="37"/>
      <c r="W12" s="37"/>
      <c r="X12" s="37"/>
    </row>
    <row r="13" customFormat="false" ht="21.75" hidden="false" customHeight="true" outlineLevel="0" collapsed="false">
      <c r="A13" s="42"/>
      <c r="B13" s="42"/>
      <c r="C13" s="42"/>
      <c r="D13" s="42"/>
      <c r="E13" s="42"/>
      <c r="F13" s="42"/>
      <c r="G13" s="42"/>
      <c r="H13" s="42"/>
      <c r="I13" s="42"/>
      <c r="J13" s="43" t="str">
        <f aca="false">IF(I13="","",ROUND(I13/1.2,2))</f>
        <v/>
      </c>
      <c r="K13" s="42"/>
      <c r="L13" s="43" t="str">
        <f aca="false">IF(OR(I13="",K13=""),"",I13-K13)</f>
        <v/>
      </c>
      <c r="M13" s="43" t="str">
        <f aca="false">IF(L13="","",L13-N13)</f>
        <v/>
      </c>
      <c r="N13" s="45" t="str">
        <f aca="false">IF(L13="","",ROUND(L13/6,2))</f>
        <v/>
      </c>
      <c r="O13" s="44" t="str">
        <f aca="false">IF(OR(K13="",K13=0),"",M13/K13)</f>
        <v/>
      </c>
      <c r="P13" s="42"/>
      <c r="Q13" s="42"/>
      <c r="R13" s="42"/>
      <c r="S13" s="42"/>
      <c r="T13" s="42"/>
      <c r="U13" s="42"/>
      <c r="V13" s="42"/>
      <c r="W13" s="42"/>
      <c r="X13" s="42"/>
    </row>
    <row r="14" customFormat="false" ht="21.75" hidden="false" customHeight="true" outlineLevel="0" collapsed="false">
      <c r="A14" s="37"/>
      <c r="B14" s="37"/>
      <c r="C14" s="37"/>
      <c r="D14" s="37"/>
      <c r="E14" s="37"/>
      <c r="F14" s="37"/>
      <c r="G14" s="37"/>
      <c r="H14" s="37"/>
      <c r="I14" s="37"/>
      <c r="J14" s="38" t="str">
        <f aca="false">IF(I14="","",ROUND(I14/1.2,2))</f>
        <v/>
      </c>
      <c r="K14" s="37"/>
      <c r="L14" s="38" t="str">
        <f aca="false">IF(OR(I14="",K14=""),"",I14-K14)</f>
        <v/>
      </c>
      <c r="M14" s="38" t="str">
        <f aca="false">IF(L14="","",L14-N14)</f>
        <v/>
      </c>
      <c r="N14" s="40" t="str">
        <f aca="false">IF(L14="","",ROUND(L14/6,2))</f>
        <v/>
      </c>
      <c r="O14" s="39" t="str">
        <f aca="false">IF(OR(K14="",K14=0),"",M14/K14)</f>
        <v/>
      </c>
      <c r="P14" s="37"/>
      <c r="Q14" s="37"/>
      <c r="R14" s="37"/>
      <c r="S14" s="37"/>
      <c r="T14" s="37"/>
      <c r="U14" s="37"/>
      <c r="V14" s="37"/>
      <c r="W14" s="37"/>
      <c r="X14" s="37"/>
    </row>
    <row r="15" customFormat="false" ht="21.75" hidden="false" customHeight="true" outlineLevel="0" collapsed="false">
      <c r="A15" s="42"/>
      <c r="B15" s="42"/>
      <c r="C15" s="42"/>
      <c r="D15" s="42"/>
      <c r="E15" s="42"/>
      <c r="F15" s="42"/>
      <c r="G15" s="42"/>
      <c r="H15" s="42"/>
      <c r="I15" s="42"/>
      <c r="J15" s="43" t="str">
        <f aca="false">IF(I15="","",ROUND(I15/1.2,2))</f>
        <v/>
      </c>
      <c r="K15" s="42"/>
      <c r="L15" s="43" t="str">
        <f aca="false">IF(OR(I15="",K15=""),"",I15-K15)</f>
        <v/>
      </c>
      <c r="M15" s="43" t="str">
        <f aca="false">IF(L15="","",L15-N15)</f>
        <v/>
      </c>
      <c r="N15" s="45" t="str">
        <f aca="false">IF(L15="","",ROUND(L15/6,2))</f>
        <v/>
      </c>
      <c r="O15" s="44" t="str">
        <f aca="false">IF(OR(K15="",K15=0),"",M15/K15)</f>
        <v/>
      </c>
      <c r="P15" s="42"/>
      <c r="Q15" s="42"/>
      <c r="R15" s="42"/>
      <c r="S15" s="42"/>
      <c r="T15" s="42"/>
      <c r="U15" s="42"/>
      <c r="V15" s="42"/>
      <c r="W15" s="42"/>
      <c r="X15" s="42"/>
    </row>
    <row r="16" customFormat="false" ht="21.75" hidden="false" customHeight="true" outlineLevel="0" collapsed="false">
      <c r="A16" s="37"/>
      <c r="B16" s="37"/>
      <c r="C16" s="37"/>
      <c r="D16" s="37"/>
      <c r="E16" s="37"/>
      <c r="F16" s="37"/>
      <c r="G16" s="37"/>
      <c r="H16" s="37"/>
      <c r="I16" s="37"/>
      <c r="J16" s="38" t="str">
        <f aca="false">IF(I16="","",ROUND(I16/1.2,2))</f>
        <v/>
      </c>
      <c r="K16" s="37"/>
      <c r="L16" s="38" t="str">
        <f aca="false">IF(OR(I16="",K16=""),"",I16-K16)</f>
        <v/>
      </c>
      <c r="M16" s="38" t="str">
        <f aca="false">IF(L16="","",L16-N16)</f>
        <v/>
      </c>
      <c r="N16" s="40" t="str">
        <f aca="false">IF(L16="","",ROUND(L16/6,2))</f>
        <v/>
      </c>
      <c r="O16" s="39" t="str">
        <f aca="false">IF(OR(K16="",K16=0),"",M16/K16)</f>
        <v/>
      </c>
      <c r="P16" s="37"/>
      <c r="Q16" s="37"/>
      <c r="R16" s="37"/>
      <c r="S16" s="37"/>
      <c r="T16" s="37"/>
      <c r="U16" s="37"/>
      <c r="V16" s="37"/>
      <c r="W16" s="37"/>
      <c r="X16" s="37"/>
    </row>
    <row r="17" customFormat="false" ht="21.7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3" t="str">
        <f aca="false">IF(I17="","",ROUND(I17/1.2,2))</f>
        <v/>
      </c>
      <c r="K17" s="42"/>
      <c r="L17" s="43" t="str">
        <f aca="false">IF(OR(I17="",K17=""),"",I17-K17)</f>
        <v/>
      </c>
      <c r="M17" s="43" t="str">
        <f aca="false">IF(L17="","",L17-N17)</f>
        <v/>
      </c>
      <c r="N17" s="45" t="str">
        <f aca="false">IF(L17="","",ROUND(L17/6,2))</f>
        <v/>
      </c>
      <c r="O17" s="44" t="str">
        <f aca="false">IF(OR(K17="",K17=0),"",M17/K17)</f>
        <v/>
      </c>
      <c r="P17" s="42"/>
      <c r="Q17" s="42"/>
      <c r="R17" s="42"/>
      <c r="S17" s="42"/>
      <c r="T17" s="42"/>
      <c r="U17" s="42"/>
      <c r="V17" s="42"/>
      <c r="W17" s="42"/>
      <c r="X17" s="42"/>
    </row>
    <row r="18" customFormat="false" ht="21.75" hidden="false" customHeight="true" outlineLevel="0" collapsed="false">
      <c r="A18" s="37"/>
      <c r="B18" s="37"/>
      <c r="C18" s="37"/>
      <c r="D18" s="37"/>
      <c r="E18" s="37"/>
      <c r="F18" s="37"/>
      <c r="G18" s="37"/>
      <c r="H18" s="37"/>
      <c r="I18" s="37"/>
      <c r="J18" s="38" t="str">
        <f aca="false">IF(I18="","",ROUND(I18/1.2,2))</f>
        <v/>
      </c>
      <c r="K18" s="37"/>
      <c r="L18" s="38" t="str">
        <f aca="false">IF(OR(I18="",K18=""),"",I18-K18)</f>
        <v/>
      </c>
      <c r="M18" s="38" t="str">
        <f aca="false">IF(L18="","",L18-N18)</f>
        <v/>
      </c>
      <c r="N18" s="40" t="str">
        <f aca="false">IF(L18="","",ROUND(L18/6,2))</f>
        <v/>
      </c>
      <c r="O18" s="39" t="str">
        <f aca="false">IF(OR(K18="",K18=0),"",M18/K18)</f>
        <v/>
      </c>
      <c r="P18" s="37"/>
      <c r="Q18" s="37"/>
      <c r="R18" s="37"/>
      <c r="S18" s="37"/>
      <c r="T18" s="37"/>
      <c r="U18" s="37"/>
      <c r="V18" s="37"/>
      <c r="W18" s="37"/>
      <c r="X18" s="37"/>
    </row>
    <row r="19" customFormat="false" ht="21.7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3" t="str">
        <f aca="false">IF(I19="","",ROUND(I19/1.2,2))</f>
        <v/>
      </c>
      <c r="K19" s="42"/>
      <c r="L19" s="43" t="str">
        <f aca="false">IF(OR(I19="",K19=""),"",I19-K19)</f>
        <v/>
      </c>
      <c r="M19" s="43" t="str">
        <f aca="false">IF(L19="","",L19-N19)</f>
        <v/>
      </c>
      <c r="N19" s="45" t="str">
        <f aca="false">IF(L19="","",ROUND(L19/6,2))</f>
        <v/>
      </c>
      <c r="O19" s="44" t="str">
        <f aca="false">IF(OR(K19="",K19=0),"",M19/K19)</f>
        <v/>
      </c>
      <c r="P19" s="42"/>
      <c r="Q19" s="42"/>
      <c r="R19" s="42"/>
      <c r="S19" s="42"/>
      <c r="T19" s="42"/>
      <c r="U19" s="42"/>
      <c r="V19" s="42"/>
      <c r="W19" s="42"/>
      <c r="X19" s="42"/>
    </row>
    <row r="20" customFormat="false" ht="21.75" hidden="false" customHeight="true" outlineLevel="0" collapsed="false">
      <c r="A20" s="37"/>
      <c r="B20" s="37"/>
      <c r="C20" s="37"/>
      <c r="D20" s="37"/>
      <c r="E20" s="37"/>
      <c r="F20" s="37"/>
      <c r="G20" s="37"/>
      <c r="H20" s="37"/>
      <c r="I20" s="37"/>
      <c r="J20" s="38" t="str">
        <f aca="false">IF(I20="","",ROUND(I20/1.2,2))</f>
        <v/>
      </c>
      <c r="K20" s="37"/>
      <c r="L20" s="38" t="str">
        <f aca="false">IF(OR(I20="",K20=""),"",I20-K20)</f>
        <v/>
      </c>
      <c r="M20" s="38" t="str">
        <f aca="false">IF(L20="","",L20-N20)</f>
        <v/>
      </c>
      <c r="N20" s="40" t="str">
        <f aca="false">IF(L20="","",ROUND(L20/6,2))</f>
        <v/>
      </c>
      <c r="O20" s="39" t="str">
        <f aca="false">IF(OR(K20="",K20=0),"",M20/K20)</f>
        <v/>
      </c>
      <c r="P20" s="37"/>
      <c r="Q20" s="37"/>
      <c r="R20" s="37"/>
      <c r="S20" s="37"/>
      <c r="T20" s="37"/>
      <c r="U20" s="37"/>
      <c r="V20" s="37"/>
      <c r="W20" s="37"/>
      <c r="X20" s="37"/>
    </row>
    <row r="21" customFormat="false" ht="21.75" hidden="false" customHeight="true" outlineLevel="0" collapsed="false">
      <c r="A21" s="42"/>
      <c r="B21" s="42"/>
      <c r="C21" s="42"/>
      <c r="D21" s="42"/>
      <c r="E21" s="42"/>
      <c r="F21" s="42"/>
      <c r="G21" s="42"/>
      <c r="H21" s="42"/>
      <c r="I21" s="42"/>
      <c r="J21" s="43" t="str">
        <f aca="false">IF(I21="","",ROUND(I21/1.2,2))</f>
        <v/>
      </c>
      <c r="K21" s="42"/>
      <c r="L21" s="43" t="str">
        <f aca="false">IF(OR(I21="",K21=""),"",I21-K21)</f>
        <v/>
      </c>
      <c r="M21" s="43" t="str">
        <f aca="false">IF(L21="","",L21-N21)</f>
        <v/>
      </c>
      <c r="N21" s="45" t="str">
        <f aca="false">IF(L21="","",ROUND(L21/6,2))</f>
        <v/>
      </c>
      <c r="O21" s="44" t="str">
        <f aca="false">IF(OR(K21="",K21=0),"",M21/K21)</f>
        <v/>
      </c>
      <c r="P21" s="42"/>
      <c r="Q21" s="42"/>
      <c r="R21" s="42"/>
      <c r="S21" s="42"/>
      <c r="T21" s="42"/>
      <c r="U21" s="42"/>
      <c r="V21" s="42"/>
      <c r="W21" s="42"/>
      <c r="X21" s="42"/>
    </row>
    <row r="22" customFormat="false" ht="21.75" hidden="false" customHeight="true" outlineLevel="0" collapsed="false">
      <c r="A22" s="37"/>
      <c r="B22" s="37"/>
      <c r="C22" s="37"/>
      <c r="D22" s="37"/>
      <c r="E22" s="37"/>
      <c r="F22" s="37"/>
      <c r="G22" s="37"/>
      <c r="H22" s="37"/>
      <c r="I22" s="37"/>
      <c r="J22" s="38" t="str">
        <f aca="false">IF(I22="","",ROUND(I22/1.2,2))</f>
        <v/>
      </c>
      <c r="K22" s="37"/>
      <c r="L22" s="38" t="str">
        <f aca="false">IF(OR(I22="",K22=""),"",I22-K22)</f>
        <v/>
      </c>
      <c r="M22" s="38" t="str">
        <f aca="false">IF(L22="","",L22-N22)</f>
        <v/>
      </c>
      <c r="N22" s="40" t="str">
        <f aca="false">IF(L22="","",ROUND(L22/6,2))</f>
        <v/>
      </c>
      <c r="O22" s="39" t="str">
        <f aca="false">IF(OR(K22="",K22=0),"",M22/K22)</f>
        <v/>
      </c>
      <c r="P22" s="37"/>
      <c r="Q22" s="37"/>
      <c r="R22" s="37"/>
      <c r="S22" s="37"/>
      <c r="T22" s="37"/>
      <c r="U22" s="37"/>
      <c r="V22" s="37"/>
      <c r="W22" s="37"/>
      <c r="X22" s="37"/>
    </row>
    <row r="23" customFormat="false" ht="21.75" hidden="false" customHeight="true" outlineLevel="0" collapsed="false">
      <c r="A23" s="42"/>
      <c r="B23" s="42"/>
      <c r="C23" s="42"/>
      <c r="D23" s="42"/>
      <c r="E23" s="42"/>
      <c r="F23" s="42"/>
      <c r="G23" s="42"/>
      <c r="H23" s="42"/>
      <c r="I23" s="42"/>
      <c r="J23" s="43" t="str">
        <f aca="false">IF(I23="","",ROUND(I23/1.2,2))</f>
        <v/>
      </c>
      <c r="K23" s="42"/>
      <c r="L23" s="43" t="str">
        <f aca="false">IF(OR(I23="",K23=""),"",I23-K23)</f>
        <v/>
      </c>
      <c r="M23" s="43" t="str">
        <f aca="false">IF(L23="","",L23-N23)</f>
        <v/>
      </c>
      <c r="N23" s="45" t="str">
        <f aca="false">IF(L23="","",ROUND(L23/6,2))</f>
        <v/>
      </c>
      <c r="O23" s="44" t="str">
        <f aca="false">IF(OR(K23="",K23=0),"",M23/K23)</f>
        <v/>
      </c>
      <c r="P23" s="42"/>
      <c r="Q23" s="42"/>
      <c r="R23" s="42"/>
      <c r="S23" s="42"/>
      <c r="T23" s="42"/>
      <c r="U23" s="42"/>
      <c r="V23" s="42"/>
      <c r="W23" s="42"/>
      <c r="X23" s="42"/>
    </row>
    <row r="24" customFormat="false" ht="21.75" hidden="false" customHeight="true" outlineLevel="0" collapsed="false">
      <c r="A24" s="37"/>
      <c r="B24" s="37"/>
      <c r="C24" s="37"/>
      <c r="D24" s="37"/>
      <c r="E24" s="37"/>
      <c r="F24" s="37"/>
      <c r="G24" s="37"/>
      <c r="H24" s="37"/>
      <c r="I24" s="37"/>
      <c r="J24" s="38" t="str">
        <f aca="false">IF(I24="","",ROUND(I24/1.2,2))</f>
        <v/>
      </c>
      <c r="K24" s="37"/>
      <c r="L24" s="38" t="str">
        <f aca="false">IF(OR(I24="",K24=""),"",I24-K24)</f>
        <v/>
      </c>
      <c r="M24" s="38" t="str">
        <f aca="false">IF(L24="","",L24-N24)</f>
        <v/>
      </c>
      <c r="N24" s="40" t="str">
        <f aca="false">IF(L24="","",ROUND(L24/6,2))</f>
        <v/>
      </c>
      <c r="O24" s="39" t="str">
        <f aca="false">IF(OR(K24="",K24=0),"",M24/K24)</f>
        <v/>
      </c>
      <c r="P24" s="37"/>
      <c r="Q24" s="37"/>
      <c r="R24" s="37"/>
      <c r="S24" s="37"/>
      <c r="T24" s="37"/>
      <c r="U24" s="37"/>
      <c r="V24" s="37"/>
      <c r="W24" s="37"/>
      <c r="X24" s="37"/>
    </row>
    <row r="25" customFormat="false" ht="21.75" hidden="false" customHeight="true" outlineLevel="0" collapsed="false">
      <c r="A25" s="42"/>
      <c r="B25" s="42"/>
      <c r="C25" s="42"/>
      <c r="D25" s="42"/>
      <c r="E25" s="42"/>
      <c r="F25" s="42"/>
      <c r="G25" s="42"/>
      <c r="H25" s="42"/>
      <c r="I25" s="42"/>
      <c r="J25" s="43" t="str">
        <f aca="false">IF(I25="","",ROUND(I25/1.2,2))</f>
        <v/>
      </c>
      <c r="K25" s="42"/>
      <c r="L25" s="43" t="str">
        <f aca="false">IF(OR(I25="",K25=""),"",I25-K25)</f>
        <v/>
      </c>
      <c r="M25" s="43" t="str">
        <f aca="false">IF(L25="","",L25-N25)</f>
        <v/>
      </c>
      <c r="N25" s="45" t="str">
        <f aca="false">IF(L25="","",ROUND(L25/6,2))</f>
        <v/>
      </c>
      <c r="O25" s="44" t="str">
        <f aca="false">IF(OR(K25="",K25=0),"",M25/K25)</f>
        <v/>
      </c>
      <c r="P25" s="42"/>
      <c r="Q25" s="42"/>
      <c r="R25" s="42"/>
      <c r="S25" s="42"/>
      <c r="T25" s="42"/>
      <c r="U25" s="42"/>
      <c r="V25" s="42"/>
      <c r="W25" s="42"/>
      <c r="X25" s="42"/>
    </row>
    <row r="26" customFormat="false" ht="21.75" hidden="false" customHeight="true" outlineLevel="0" collapsed="false">
      <c r="A26" s="37"/>
      <c r="B26" s="37"/>
      <c r="C26" s="37"/>
      <c r="D26" s="37"/>
      <c r="E26" s="37"/>
      <c r="F26" s="37"/>
      <c r="G26" s="37"/>
      <c r="H26" s="37"/>
      <c r="I26" s="37"/>
      <c r="J26" s="38" t="str">
        <f aca="false">IF(I26="","",ROUND(I26/1.2,2))</f>
        <v/>
      </c>
      <c r="K26" s="37"/>
      <c r="L26" s="38" t="str">
        <f aca="false">IF(OR(I26="",K26=""),"",I26-K26)</f>
        <v/>
      </c>
      <c r="M26" s="38" t="str">
        <f aca="false">IF(L26="","",L26-N26)</f>
        <v/>
      </c>
      <c r="N26" s="40" t="str">
        <f aca="false">IF(L26="","",ROUND(L26/6,2))</f>
        <v/>
      </c>
      <c r="O26" s="39" t="str">
        <f aca="false">IF(OR(K26="",K26=0),"",M26/K26)</f>
        <v/>
      </c>
      <c r="P26" s="37"/>
      <c r="Q26" s="37"/>
      <c r="R26" s="37"/>
      <c r="S26" s="37"/>
      <c r="T26" s="37"/>
      <c r="U26" s="37"/>
      <c r="V26" s="37"/>
      <c r="W26" s="37"/>
      <c r="X26" s="37"/>
    </row>
    <row r="27" customFormat="false" ht="21.75" hidden="false" customHeight="true" outlineLevel="0" collapsed="false">
      <c r="A27" s="42"/>
      <c r="B27" s="42"/>
      <c r="C27" s="42"/>
      <c r="D27" s="42"/>
      <c r="E27" s="42"/>
      <c r="F27" s="42"/>
      <c r="G27" s="42"/>
      <c r="H27" s="42"/>
      <c r="I27" s="42"/>
      <c r="J27" s="43" t="str">
        <f aca="false">IF(I27="","",ROUND(I27/1.2,2))</f>
        <v/>
      </c>
      <c r="K27" s="42"/>
      <c r="L27" s="43" t="str">
        <f aca="false">IF(OR(I27="",K27=""),"",I27-K27)</f>
        <v/>
      </c>
      <c r="M27" s="43" t="str">
        <f aca="false">IF(L27="","",L27-N27)</f>
        <v/>
      </c>
      <c r="N27" s="45" t="str">
        <f aca="false">IF(L27="","",ROUND(L27/6,2))</f>
        <v/>
      </c>
      <c r="O27" s="44" t="str">
        <f aca="false">IF(OR(K27="",K27=0),"",M27/K27)</f>
        <v/>
      </c>
      <c r="P27" s="42"/>
      <c r="Q27" s="42"/>
      <c r="R27" s="42"/>
      <c r="S27" s="42"/>
      <c r="T27" s="42"/>
      <c r="U27" s="42"/>
      <c r="V27" s="42"/>
      <c r="W27" s="42"/>
      <c r="X27" s="42"/>
    </row>
    <row r="28" customFormat="false" ht="21.75" hidden="false" customHeight="true" outlineLevel="0" collapsed="false">
      <c r="A28" s="37"/>
      <c r="B28" s="37"/>
      <c r="C28" s="37"/>
      <c r="D28" s="37"/>
      <c r="E28" s="37"/>
      <c r="F28" s="37"/>
      <c r="G28" s="37"/>
      <c r="H28" s="37"/>
      <c r="I28" s="37"/>
      <c r="J28" s="38" t="str">
        <f aca="false">IF(I28="","",ROUND(I28/1.2,2))</f>
        <v/>
      </c>
      <c r="K28" s="37"/>
      <c r="L28" s="38" t="str">
        <f aca="false">IF(OR(I28="",K28=""),"",I28-K28)</f>
        <v/>
      </c>
      <c r="M28" s="38" t="str">
        <f aca="false">IF(L28="","",L28-N28)</f>
        <v/>
      </c>
      <c r="N28" s="40" t="str">
        <f aca="false">IF(L28="","",ROUND(L28/6,2))</f>
        <v/>
      </c>
      <c r="O28" s="39" t="str">
        <f aca="false">IF(OR(K28="",K28=0),"",M28/K28)</f>
        <v/>
      </c>
      <c r="P28" s="37"/>
      <c r="Q28" s="37"/>
      <c r="R28" s="37"/>
      <c r="S28" s="37"/>
      <c r="T28" s="37"/>
      <c r="U28" s="37"/>
      <c r="V28" s="37"/>
      <c r="W28" s="37"/>
      <c r="X28" s="37"/>
    </row>
    <row r="29" customFormat="false" ht="21.75" hidden="false" customHeight="true" outlineLevel="0" collapsed="false">
      <c r="A29" s="42"/>
      <c r="B29" s="42"/>
      <c r="C29" s="42"/>
      <c r="D29" s="42"/>
      <c r="E29" s="42"/>
      <c r="F29" s="42"/>
      <c r="G29" s="42"/>
      <c r="H29" s="42"/>
      <c r="I29" s="42"/>
      <c r="J29" s="43" t="str">
        <f aca="false">IF(I29="","",ROUND(I29/1.2,2))</f>
        <v/>
      </c>
      <c r="K29" s="42"/>
      <c r="L29" s="43" t="str">
        <f aca="false">IF(OR(I29="",K29=""),"",I29-K29)</f>
        <v/>
      </c>
      <c r="M29" s="43" t="str">
        <f aca="false">IF(L29="","",L29-N29)</f>
        <v/>
      </c>
      <c r="N29" s="45" t="str">
        <f aca="false">IF(L29="","",ROUND(L29/6,2))</f>
        <v/>
      </c>
      <c r="O29" s="44" t="str">
        <f aca="false">IF(OR(K29="",K29=0),"",M29/K29)</f>
        <v/>
      </c>
      <c r="P29" s="42"/>
      <c r="Q29" s="42"/>
      <c r="R29" s="42"/>
      <c r="S29" s="42"/>
      <c r="T29" s="42"/>
      <c r="U29" s="42"/>
      <c r="V29" s="42"/>
      <c r="W29" s="42"/>
      <c r="X29" s="42"/>
    </row>
    <row r="30" customFormat="false" ht="21.75" hidden="false" customHeight="true" outlineLevel="0" collapsed="false">
      <c r="A30" s="37"/>
      <c r="B30" s="37"/>
      <c r="C30" s="37"/>
      <c r="D30" s="37"/>
      <c r="E30" s="37"/>
      <c r="F30" s="37"/>
      <c r="G30" s="37"/>
      <c r="H30" s="37"/>
      <c r="I30" s="37"/>
      <c r="J30" s="38" t="str">
        <f aca="false">IF(I30="","",ROUND(I30/1.2,2))</f>
        <v/>
      </c>
      <c r="K30" s="37"/>
      <c r="L30" s="38" t="str">
        <f aca="false">IF(OR(I30="",K30=""),"",I30-K30)</f>
        <v/>
      </c>
      <c r="M30" s="38" t="str">
        <f aca="false">IF(L30="","",L30-N30)</f>
        <v/>
      </c>
      <c r="N30" s="40" t="str">
        <f aca="false">IF(L30="","",ROUND(L30/6,2))</f>
        <v/>
      </c>
      <c r="O30" s="39" t="str">
        <f aca="false">IF(OR(K30="",K30=0),"",M30/K30)</f>
        <v/>
      </c>
      <c r="P30" s="37"/>
      <c r="Q30" s="37"/>
      <c r="R30" s="37"/>
      <c r="S30" s="37"/>
      <c r="T30" s="37"/>
      <c r="U30" s="37"/>
      <c r="V30" s="37"/>
      <c r="W30" s="37"/>
      <c r="X30" s="37"/>
    </row>
    <row r="31" customFormat="false" ht="21.75" hidden="false" customHeight="true" outlineLevel="0" collapsed="false">
      <c r="A31" s="42"/>
      <c r="B31" s="42"/>
      <c r="C31" s="42"/>
      <c r="D31" s="42"/>
      <c r="E31" s="42"/>
      <c r="F31" s="42"/>
      <c r="G31" s="42"/>
      <c r="H31" s="42"/>
      <c r="I31" s="42"/>
      <c r="J31" s="43" t="str">
        <f aca="false">IF(I31="","",ROUND(I31/1.2,2))</f>
        <v/>
      </c>
      <c r="K31" s="42"/>
      <c r="L31" s="43" t="str">
        <f aca="false">IF(OR(I31="",K31=""),"",I31-K31)</f>
        <v/>
      </c>
      <c r="M31" s="43" t="str">
        <f aca="false">IF(L31="","",L31-N31)</f>
        <v/>
      </c>
      <c r="N31" s="45" t="str">
        <f aca="false">IF(L31="","",ROUND(L31/6,2))</f>
        <v/>
      </c>
      <c r="O31" s="44" t="str">
        <f aca="false">IF(OR(K31="",K31=0),"",M31/K31)</f>
        <v/>
      </c>
      <c r="P31" s="42"/>
      <c r="Q31" s="42"/>
      <c r="R31" s="42"/>
      <c r="S31" s="42"/>
      <c r="T31" s="42"/>
      <c r="U31" s="42"/>
      <c r="V31" s="42"/>
      <c r="W31" s="42"/>
      <c r="X31" s="42"/>
    </row>
    <row r="32" customFormat="false" ht="21.75" hidden="false" customHeight="true" outlineLevel="0" collapsed="false">
      <c r="A32" s="37"/>
      <c r="B32" s="37"/>
      <c r="C32" s="37"/>
      <c r="D32" s="37"/>
      <c r="E32" s="37"/>
      <c r="F32" s="37"/>
      <c r="G32" s="37"/>
      <c r="H32" s="37"/>
      <c r="I32" s="37"/>
      <c r="J32" s="38" t="str">
        <f aca="false">IF(I32="","",ROUND(I32/1.2,2))</f>
        <v/>
      </c>
      <c r="K32" s="37"/>
      <c r="L32" s="38" t="str">
        <f aca="false">IF(OR(I32="",K32=""),"",I32-K32)</f>
        <v/>
      </c>
      <c r="M32" s="38" t="str">
        <f aca="false">IF(L32="","",L32-N32)</f>
        <v/>
      </c>
      <c r="N32" s="40" t="str">
        <f aca="false">IF(L32="","",ROUND(L32/6,2))</f>
        <v/>
      </c>
      <c r="O32" s="39" t="str">
        <f aca="false">IF(OR(K32="",K32=0),"",M32/K32)</f>
        <v/>
      </c>
      <c r="P32" s="37"/>
      <c r="Q32" s="37"/>
      <c r="R32" s="37"/>
      <c r="S32" s="37"/>
      <c r="T32" s="37"/>
      <c r="U32" s="37"/>
      <c r="V32" s="37"/>
      <c r="W32" s="37"/>
      <c r="X32" s="37"/>
    </row>
    <row r="33" customFormat="false" ht="21.75" hidden="false" customHeight="true" outlineLevel="0" collapsed="false">
      <c r="A33" s="42"/>
      <c r="B33" s="42"/>
      <c r="C33" s="42"/>
      <c r="D33" s="42"/>
      <c r="E33" s="42"/>
      <c r="F33" s="42"/>
      <c r="G33" s="42"/>
      <c r="H33" s="42"/>
      <c r="I33" s="42"/>
      <c r="J33" s="43" t="str">
        <f aca="false">IF(I33="","",ROUND(I33/1.2,2))</f>
        <v/>
      </c>
      <c r="K33" s="42"/>
      <c r="L33" s="43" t="str">
        <f aca="false">IF(OR(I33="",K33=""),"",I33-K33)</f>
        <v/>
      </c>
      <c r="M33" s="43" t="str">
        <f aca="false">IF(L33="","",L33-N33)</f>
        <v/>
      </c>
      <c r="N33" s="45" t="str">
        <f aca="false">IF(L33="","",ROUND(L33/6,2))</f>
        <v/>
      </c>
      <c r="O33" s="44" t="str">
        <f aca="false">IF(OR(K33="",K33=0),"",M33/K33)</f>
        <v/>
      </c>
      <c r="P33" s="42"/>
      <c r="Q33" s="42"/>
      <c r="R33" s="42"/>
      <c r="S33" s="42"/>
      <c r="T33" s="42"/>
      <c r="U33" s="42"/>
      <c r="V33" s="42"/>
      <c r="W33" s="42"/>
      <c r="X33" s="42"/>
    </row>
    <row r="34" customFormat="false" ht="21.75" hidden="false" customHeight="true" outlineLevel="0" collapsed="false">
      <c r="A34" s="37"/>
      <c r="B34" s="37"/>
      <c r="C34" s="37"/>
      <c r="D34" s="37"/>
      <c r="E34" s="37"/>
      <c r="F34" s="37"/>
      <c r="G34" s="37"/>
      <c r="H34" s="37"/>
      <c r="I34" s="37"/>
      <c r="J34" s="38" t="str">
        <f aca="false">IF(I34="","",ROUND(I34/1.2,2))</f>
        <v/>
      </c>
      <c r="K34" s="37"/>
      <c r="L34" s="38" t="str">
        <f aca="false">IF(OR(I34="",K34=""),"",I34-K34)</f>
        <v/>
      </c>
      <c r="M34" s="38" t="str">
        <f aca="false">IF(L34="","",L34-N34)</f>
        <v/>
      </c>
      <c r="N34" s="40" t="str">
        <f aca="false">IF(L34="","",ROUND(L34/6,2))</f>
        <v/>
      </c>
      <c r="O34" s="39" t="str">
        <f aca="false">IF(OR(K34="",K34=0),"",M34/K34)</f>
        <v/>
      </c>
      <c r="P34" s="37"/>
      <c r="Q34" s="37"/>
      <c r="R34" s="37"/>
      <c r="S34" s="37"/>
      <c r="T34" s="37"/>
      <c r="U34" s="37"/>
      <c r="V34" s="37"/>
      <c r="W34" s="37"/>
      <c r="X34" s="37"/>
    </row>
    <row r="35" customFormat="false" ht="21.75" hidden="false" customHeight="true" outlineLevel="0" collapsed="false">
      <c r="A35" s="42"/>
      <c r="B35" s="42"/>
      <c r="C35" s="42"/>
      <c r="D35" s="42"/>
      <c r="E35" s="42"/>
      <c r="F35" s="42"/>
      <c r="G35" s="42"/>
      <c r="H35" s="42"/>
      <c r="I35" s="42"/>
      <c r="J35" s="43" t="str">
        <f aca="false">IF(I35="","",ROUND(I35/1.2,2))</f>
        <v/>
      </c>
      <c r="K35" s="42"/>
      <c r="L35" s="43" t="str">
        <f aca="false">IF(OR(I35="",K35=""),"",I35-K35)</f>
        <v/>
      </c>
      <c r="M35" s="43" t="str">
        <f aca="false">IF(L35="","",L35-N35)</f>
        <v/>
      </c>
      <c r="N35" s="45" t="str">
        <f aca="false">IF(L35="","",ROUND(L35/6,2))</f>
        <v/>
      </c>
      <c r="O35" s="44" t="str">
        <f aca="false">IF(OR(K35="",K35=0),"",M35/K35)</f>
        <v/>
      </c>
      <c r="P35" s="42"/>
      <c r="Q35" s="42"/>
      <c r="R35" s="42"/>
      <c r="S35" s="42"/>
      <c r="T35" s="42"/>
      <c r="U35" s="42"/>
      <c r="V35" s="42"/>
      <c r="W35" s="42"/>
      <c r="X35" s="42"/>
    </row>
    <row r="36" customFormat="false" ht="21.75" hidden="false" customHeight="true" outlineLevel="0" collapsed="false">
      <c r="A36" s="37"/>
      <c r="B36" s="37"/>
      <c r="C36" s="37"/>
      <c r="D36" s="37"/>
      <c r="E36" s="37"/>
      <c r="F36" s="37"/>
      <c r="G36" s="37"/>
      <c r="H36" s="37"/>
      <c r="I36" s="37"/>
      <c r="J36" s="38" t="str">
        <f aca="false">IF(I36="","",ROUND(I36/1.2,2))</f>
        <v/>
      </c>
      <c r="K36" s="37"/>
      <c r="L36" s="38" t="str">
        <f aca="false">IF(OR(I36="",K36=""),"",I36-K36)</f>
        <v/>
      </c>
      <c r="M36" s="38" t="str">
        <f aca="false">IF(L36="","",L36-N36)</f>
        <v/>
      </c>
      <c r="N36" s="40" t="str">
        <f aca="false">IF(L36="","",ROUND(L36/6,2))</f>
        <v/>
      </c>
      <c r="O36" s="39" t="str">
        <f aca="false">IF(OR(K36="",K36=0),"",M36/K36)</f>
        <v/>
      </c>
      <c r="P36" s="37"/>
      <c r="Q36" s="37"/>
      <c r="R36" s="37"/>
      <c r="S36" s="37"/>
      <c r="T36" s="37"/>
      <c r="U36" s="37"/>
      <c r="V36" s="37"/>
      <c r="W36" s="37"/>
      <c r="X36" s="37"/>
    </row>
    <row r="37" customFormat="false" ht="21.75" hidden="false" customHeight="true" outlineLevel="0" collapsed="false">
      <c r="A37" s="42"/>
      <c r="B37" s="42"/>
      <c r="C37" s="42"/>
      <c r="D37" s="42"/>
      <c r="E37" s="42"/>
      <c r="F37" s="42"/>
      <c r="G37" s="42"/>
      <c r="H37" s="42"/>
      <c r="I37" s="42"/>
      <c r="J37" s="43" t="str">
        <f aca="false">IF(I37="","",ROUND(I37/1.2,2))</f>
        <v/>
      </c>
      <c r="K37" s="42"/>
      <c r="L37" s="43" t="str">
        <f aca="false">IF(OR(I37="",K37=""),"",I37-K37)</f>
        <v/>
      </c>
      <c r="M37" s="43" t="str">
        <f aca="false">IF(L37="","",L37-N37)</f>
        <v/>
      </c>
      <c r="N37" s="45" t="str">
        <f aca="false">IF(L37="","",ROUND(L37/6,2))</f>
        <v/>
      </c>
      <c r="O37" s="44" t="str">
        <f aca="false">IF(OR(K37="",K37=0),"",M37/K37)</f>
        <v/>
      </c>
      <c r="P37" s="42"/>
      <c r="Q37" s="42"/>
      <c r="R37" s="42"/>
      <c r="S37" s="42"/>
      <c r="T37" s="42"/>
      <c r="U37" s="42"/>
      <c r="V37" s="42"/>
      <c r="W37" s="42"/>
      <c r="X37" s="42"/>
    </row>
    <row r="38" customFormat="false" ht="21.75" hidden="false" customHeight="true" outlineLevel="0" collapsed="false">
      <c r="A38" s="37"/>
      <c r="B38" s="37"/>
      <c r="C38" s="37"/>
      <c r="D38" s="37"/>
      <c r="E38" s="37"/>
      <c r="F38" s="37"/>
      <c r="G38" s="37"/>
      <c r="H38" s="37"/>
      <c r="I38" s="37"/>
      <c r="J38" s="38" t="str">
        <f aca="false">IF(I38="","",ROUND(I38/1.2,2))</f>
        <v/>
      </c>
      <c r="K38" s="37"/>
      <c r="L38" s="38" t="str">
        <f aca="false">IF(OR(I38="",K38=""),"",I38-K38)</f>
        <v/>
      </c>
      <c r="M38" s="38" t="str">
        <f aca="false">IF(L38="","",L38-N38)</f>
        <v/>
      </c>
      <c r="N38" s="40" t="str">
        <f aca="false">IF(L38="","",ROUND(L38/6,2))</f>
        <v/>
      </c>
      <c r="O38" s="39" t="str">
        <f aca="false">IF(OR(K38="",K38=0),"",M38/K38)</f>
        <v/>
      </c>
      <c r="P38" s="37"/>
      <c r="Q38" s="37"/>
      <c r="R38" s="37"/>
      <c r="S38" s="37"/>
      <c r="T38" s="37"/>
      <c r="U38" s="37"/>
      <c r="V38" s="37"/>
      <c r="W38" s="37"/>
      <c r="X38" s="37"/>
    </row>
    <row r="39" customFormat="false" ht="21.75" hidden="false" customHeight="true" outlineLevel="0" collapsed="false">
      <c r="A39" s="42"/>
      <c r="B39" s="42"/>
      <c r="C39" s="42"/>
      <c r="D39" s="42"/>
      <c r="E39" s="42"/>
      <c r="F39" s="42"/>
      <c r="G39" s="42"/>
      <c r="H39" s="42"/>
      <c r="I39" s="42"/>
      <c r="J39" s="43" t="str">
        <f aca="false">IF(I39="","",ROUND(I39/1.2,2))</f>
        <v/>
      </c>
      <c r="K39" s="42"/>
      <c r="L39" s="43" t="str">
        <f aca="false">IF(OR(I39="",K39=""),"",I39-K39)</f>
        <v/>
      </c>
      <c r="M39" s="43" t="str">
        <f aca="false">IF(L39="","",L39-N39)</f>
        <v/>
      </c>
      <c r="N39" s="45" t="str">
        <f aca="false">IF(L39="","",ROUND(L39/6,2))</f>
        <v/>
      </c>
      <c r="O39" s="44" t="str">
        <f aca="false">IF(OR(K39="",K39=0),"",M39/K39)</f>
        <v/>
      </c>
      <c r="P39" s="42"/>
      <c r="Q39" s="42"/>
      <c r="R39" s="42"/>
      <c r="S39" s="42"/>
      <c r="T39" s="42"/>
      <c r="U39" s="42"/>
      <c r="V39" s="42"/>
      <c r="W39" s="42"/>
      <c r="X39" s="42"/>
    </row>
    <row r="40" customFormat="false" ht="21.75" hidden="false" customHeight="true" outlineLevel="0" collapsed="false">
      <c r="A40" s="37"/>
      <c r="B40" s="37"/>
      <c r="C40" s="37"/>
      <c r="D40" s="37"/>
      <c r="E40" s="37"/>
      <c r="F40" s="37"/>
      <c r="G40" s="37"/>
      <c r="H40" s="37"/>
      <c r="I40" s="37"/>
      <c r="J40" s="38" t="str">
        <f aca="false">IF(I40="","",ROUND(I40/1.2,2))</f>
        <v/>
      </c>
      <c r="K40" s="37"/>
      <c r="L40" s="38" t="str">
        <f aca="false">IF(OR(I40="",K40=""),"",I40-K40)</f>
        <v/>
      </c>
      <c r="M40" s="38" t="str">
        <f aca="false">IF(L40="","",L40-N40)</f>
        <v/>
      </c>
      <c r="N40" s="40" t="str">
        <f aca="false">IF(L40="","",ROUND(L40/6,2))</f>
        <v/>
      </c>
      <c r="O40" s="39" t="str">
        <f aca="false">IF(OR(K40="",K40=0),"",M40/K40)</f>
        <v/>
      </c>
      <c r="P40" s="37"/>
      <c r="Q40" s="37"/>
      <c r="R40" s="37"/>
      <c r="S40" s="37"/>
      <c r="T40" s="37"/>
      <c r="U40" s="37"/>
      <c r="V40" s="37"/>
      <c r="W40" s="37"/>
      <c r="X40" s="37"/>
    </row>
    <row r="41" customFormat="false" ht="21.75" hidden="false" customHeight="true" outlineLevel="0" collapsed="false">
      <c r="A41" s="42"/>
      <c r="B41" s="42"/>
      <c r="C41" s="42"/>
      <c r="D41" s="42"/>
      <c r="E41" s="42"/>
      <c r="F41" s="42"/>
      <c r="G41" s="42"/>
      <c r="H41" s="42"/>
      <c r="I41" s="42"/>
      <c r="J41" s="43" t="str">
        <f aca="false">IF(I41="","",ROUND(I41/1.2,2))</f>
        <v/>
      </c>
      <c r="K41" s="42"/>
      <c r="L41" s="43" t="str">
        <f aca="false">IF(OR(I41="",K41=""),"",I41-K41)</f>
        <v/>
      </c>
      <c r="M41" s="43" t="str">
        <f aca="false">IF(L41="","",L41-N41)</f>
        <v/>
      </c>
      <c r="N41" s="45" t="str">
        <f aca="false">IF(L41="","",ROUND(L41/6,2))</f>
        <v/>
      </c>
      <c r="O41" s="44" t="str">
        <f aca="false">IF(OR(K41="",K41=0),"",M41/K41)</f>
        <v/>
      </c>
      <c r="P41" s="42"/>
      <c r="Q41" s="42"/>
      <c r="R41" s="42"/>
      <c r="S41" s="42"/>
      <c r="T41" s="42"/>
      <c r="U41" s="42"/>
      <c r="V41" s="42"/>
      <c r="W41" s="42"/>
      <c r="X41" s="42"/>
    </row>
    <row r="42" customFormat="false" ht="21.75" hidden="false" customHeight="true" outlineLevel="0" collapsed="false">
      <c r="A42" s="37"/>
      <c r="B42" s="37"/>
      <c r="C42" s="37"/>
      <c r="D42" s="37"/>
      <c r="E42" s="37"/>
      <c r="F42" s="37"/>
      <c r="G42" s="37"/>
      <c r="H42" s="37"/>
      <c r="I42" s="37"/>
      <c r="J42" s="38" t="str">
        <f aca="false">IF(I42="","",ROUND(I42/1.2,2))</f>
        <v/>
      </c>
      <c r="K42" s="37"/>
      <c r="L42" s="38" t="str">
        <f aca="false">IF(OR(I42="",K42=""),"",I42-K42)</f>
        <v/>
      </c>
      <c r="M42" s="38" t="str">
        <f aca="false">IF(L42="","",L42-N42)</f>
        <v/>
      </c>
      <c r="N42" s="40" t="str">
        <f aca="false">IF(L42="","",ROUND(L42/6,2))</f>
        <v/>
      </c>
      <c r="O42" s="39" t="str">
        <f aca="false">IF(OR(K42="",K42=0),"",M42/K42)</f>
        <v/>
      </c>
      <c r="P42" s="37"/>
      <c r="Q42" s="37"/>
      <c r="R42" s="37"/>
      <c r="S42" s="37"/>
      <c r="T42" s="37"/>
      <c r="U42" s="37"/>
      <c r="V42" s="37"/>
      <c r="W42" s="37"/>
      <c r="X42" s="37"/>
    </row>
    <row r="43" customFormat="false" ht="21.75" hidden="false" customHeight="true" outlineLevel="0" collapsed="false">
      <c r="A43" s="42"/>
      <c r="B43" s="42"/>
      <c r="C43" s="42"/>
      <c r="D43" s="42"/>
      <c r="E43" s="42"/>
      <c r="F43" s="42"/>
      <c r="G43" s="42"/>
      <c r="H43" s="42"/>
      <c r="I43" s="42"/>
      <c r="J43" s="43" t="str">
        <f aca="false">IF(I43="","",ROUND(I43/1.2,2))</f>
        <v/>
      </c>
      <c r="K43" s="42"/>
      <c r="L43" s="43" t="str">
        <f aca="false">IF(OR(I43="",K43=""),"",I43-K43)</f>
        <v/>
      </c>
      <c r="M43" s="43" t="str">
        <f aca="false">IF(L43="","",L43-N43)</f>
        <v/>
      </c>
      <c r="N43" s="45" t="str">
        <f aca="false">IF(L43="","",ROUND(L43/6,2))</f>
        <v/>
      </c>
      <c r="O43" s="44" t="str">
        <f aca="false">IF(OR(K43="",K43=0),"",M43/K43)</f>
        <v/>
      </c>
      <c r="P43" s="42"/>
      <c r="Q43" s="42"/>
      <c r="R43" s="42"/>
      <c r="S43" s="42"/>
      <c r="T43" s="42"/>
      <c r="U43" s="42"/>
      <c r="V43" s="42"/>
      <c r="W43" s="42"/>
      <c r="X43" s="42"/>
    </row>
    <row r="44" customFormat="false" ht="21.75" hidden="false" customHeight="true" outlineLevel="0" collapsed="false">
      <c r="A44" s="37"/>
      <c r="B44" s="37"/>
      <c r="C44" s="37"/>
      <c r="D44" s="37"/>
      <c r="E44" s="37"/>
      <c r="F44" s="37"/>
      <c r="G44" s="37"/>
      <c r="H44" s="37"/>
      <c r="I44" s="37"/>
      <c r="J44" s="38" t="str">
        <f aca="false">IF(I44="","",ROUND(I44/1.2,2))</f>
        <v/>
      </c>
      <c r="K44" s="37"/>
      <c r="L44" s="38" t="str">
        <f aca="false">IF(OR(I44="",K44=""),"",I44-K44)</f>
        <v/>
      </c>
      <c r="M44" s="38" t="str">
        <f aca="false">IF(L44="","",L44-N44)</f>
        <v/>
      </c>
      <c r="N44" s="40" t="str">
        <f aca="false">IF(L44="","",ROUND(L44/6,2))</f>
        <v/>
      </c>
      <c r="O44" s="39" t="str">
        <f aca="false">IF(OR(K44="",K44=0),"",M44/K44)</f>
        <v/>
      </c>
      <c r="P44" s="37"/>
      <c r="Q44" s="37"/>
      <c r="R44" s="37"/>
      <c r="S44" s="37"/>
      <c r="T44" s="37"/>
      <c r="U44" s="37"/>
      <c r="V44" s="37"/>
      <c r="W44" s="37"/>
      <c r="X44" s="37"/>
    </row>
    <row r="45" customFormat="false" ht="21.75" hidden="false" customHeight="true" outlineLevel="0" collapsed="false">
      <c r="A45" s="42"/>
      <c r="B45" s="42"/>
      <c r="C45" s="42"/>
      <c r="D45" s="42"/>
      <c r="E45" s="42"/>
      <c r="F45" s="42"/>
      <c r="G45" s="42"/>
      <c r="H45" s="42"/>
      <c r="I45" s="42"/>
      <c r="J45" s="43" t="str">
        <f aca="false">IF(I45="","",ROUND(I45/1.2,2))</f>
        <v/>
      </c>
      <c r="K45" s="42"/>
      <c r="L45" s="43" t="str">
        <f aca="false">IF(OR(I45="",K45=""),"",I45-K45)</f>
        <v/>
      </c>
      <c r="M45" s="43" t="str">
        <f aca="false">IF(L45="","",L45-N45)</f>
        <v/>
      </c>
      <c r="N45" s="45" t="str">
        <f aca="false">IF(L45="","",ROUND(L45/6,2))</f>
        <v/>
      </c>
      <c r="O45" s="44" t="str">
        <f aca="false">IF(OR(K45="",K45=0),"",M45/K45)</f>
        <v/>
      </c>
      <c r="P45" s="42"/>
      <c r="Q45" s="42"/>
      <c r="R45" s="42"/>
      <c r="S45" s="42"/>
      <c r="T45" s="42"/>
      <c r="U45" s="42"/>
      <c r="V45" s="42"/>
      <c r="W45" s="42"/>
      <c r="X45" s="42"/>
    </row>
    <row r="46" customFormat="false" ht="21.75" hidden="false" customHeight="true" outlineLevel="0" collapsed="false">
      <c r="A46" s="37"/>
      <c r="B46" s="37"/>
      <c r="C46" s="37"/>
      <c r="D46" s="37"/>
      <c r="E46" s="37"/>
      <c r="F46" s="37"/>
      <c r="G46" s="37"/>
      <c r="H46" s="37"/>
      <c r="I46" s="37"/>
      <c r="J46" s="38" t="str">
        <f aca="false">IF(I46="","",ROUND(I46/1.2,2))</f>
        <v/>
      </c>
      <c r="K46" s="37"/>
      <c r="L46" s="38" t="str">
        <f aca="false">IF(OR(I46="",K46=""),"",I46-K46)</f>
        <v/>
      </c>
      <c r="M46" s="38" t="str">
        <f aca="false">IF(L46="","",L46-N46)</f>
        <v/>
      </c>
      <c r="N46" s="40" t="str">
        <f aca="false">IF(L46="","",ROUND(L46/6,2))</f>
        <v/>
      </c>
      <c r="O46" s="39" t="str">
        <f aca="false">IF(OR(K46="",K46=0),"",M46/K46)</f>
        <v/>
      </c>
      <c r="P46" s="37"/>
      <c r="Q46" s="37"/>
      <c r="R46" s="37"/>
      <c r="S46" s="37"/>
      <c r="T46" s="37"/>
      <c r="U46" s="37"/>
      <c r="V46" s="37"/>
      <c r="W46" s="37"/>
      <c r="X46" s="37"/>
    </row>
    <row r="47" customFormat="false" ht="21.75" hidden="false" customHeight="true" outlineLevel="0" collapsed="false">
      <c r="A47" s="42"/>
      <c r="B47" s="42"/>
      <c r="C47" s="42"/>
      <c r="D47" s="42"/>
      <c r="E47" s="42"/>
      <c r="F47" s="42"/>
      <c r="G47" s="42"/>
      <c r="H47" s="42"/>
      <c r="I47" s="42"/>
      <c r="J47" s="43" t="str">
        <f aca="false">IF(I47="","",ROUND(I47/1.2,2))</f>
        <v/>
      </c>
      <c r="K47" s="42"/>
      <c r="L47" s="43" t="str">
        <f aca="false">IF(OR(I47="",K47=""),"",I47-K47)</f>
        <v/>
      </c>
      <c r="M47" s="43" t="str">
        <f aca="false">IF(L47="","",L47-N47)</f>
        <v/>
      </c>
      <c r="N47" s="45" t="str">
        <f aca="false">IF(L47="","",ROUND(L47/6,2))</f>
        <v/>
      </c>
      <c r="O47" s="44" t="str">
        <f aca="false">IF(OR(K47="",K47=0),"",M47/K47)</f>
        <v/>
      </c>
      <c r="P47" s="42"/>
      <c r="Q47" s="42"/>
      <c r="R47" s="42"/>
      <c r="S47" s="42"/>
      <c r="T47" s="42"/>
      <c r="U47" s="42"/>
      <c r="V47" s="42"/>
      <c r="W47" s="42"/>
      <c r="X47" s="42"/>
    </row>
    <row r="48" customFormat="false" ht="21.75" hidden="false" customHeight="true" outlineLevel="0" collapsed="false">
      <c r="A48" s="37"/>
      <c r="B48" s="37"/>
      <c r="C48" s="37"/>
      <c r="D48" s="37"/>
      <c r="E48" s="37"/>
      <c r="F48" s="37"/>
      <c r="G48" s="37"/>
      <c r="H48" s="37"/>
      <c r="I48" s="37"/>
      <c r="J48" s="38" t="str">
        <f aca="false">IF(I48="","",ROUND(I48/1.2,2))</f>
        <v/>
      </c>
      <c r="K48" s="37"/>
      <c r="L48" s="38" t="str">
        <f aca="false">IF(OR(I48="",K48=""),"",I48-K48)</f>
        <v/>
      </c>
      <c r="M48" s="38" t="str">
        <f aca="false">IF(L48="","",L48-N48)</f>
        <v/>
      </c>
      <c r="N48" s="40" t="str">
        <f aca="false">IF(L48="","",ROUND(L48/6,2))</f>
        <v/>
      </c>
      <c r="O48" s="39" t="str">
        <f aca="false">IF(OR(K48="",K48=0),"",M48/K48)</f>
        <v/>
      </c>
      <c r="P48" s="37"/>
      <c r="Q48" s="37"/>
      <c r="R48" s="37"/>
      <c r="S48" s="37"/>
      <c r="T48" s="37"/>
      <c r="U48" s="37"/>
      <c r="V48" s="37"/>
      <c r="W48" s="37"/>
      <c r="X48" s="37"/>
    </row>
    <row r="49" customFormat="false" ht="21.75" hidden="false" customHeight="true" outlineLevel="0" collapsed="false">
      <c r="A49" s="42"/>
      <c r="B49" s="42"/>
      <c r="C49" s="42"/>
      <c r="D49" s="42"/>
      <c r="E49" s="42"/>
      <c r="F49" s="42"/>
      <c r="G49" s="42"/>
      <c r="H49" s="42"/>
      <c r="I49" s="42"/>
      <c r="J49" s="43" t="str">
        <f aca="false">IF(I49="","",ROUND(I49/1.2,2))</f>
        <v/>
      </c>
      <c r="K49" s="42"/>
      <c r="L49" s="43" t="str">
        <f aca="false">IF(OR(I49="",K49=""),"",I49-K49)</f>
        <v/>
      </c>
      <c r="M49" s="43" t="str">
        <f aca="false">IF(L49="","",L49-N49)</f>
        <v/>
      </c>
      <c r="N49" s="45" t="str">
        <f aca="false">IF(L49="","",ROUND(L49/6,2))</f>
        <v/>
      </c>
      <c r="O49" s="44" t="str">
        <f aca="false">IF(OR(K49="",K49=0),"",M49/K49)</f>
        <v/>
      </c>
      <c r="P49" s="42"/>
      <c r="Q49" s="42"/>
      <c r="R49" s="42"/>
      <c r="S49" s="42"/>
      <c r="T49" s="42"/>
      <c r="U49" s="42"/>
      <c r="V49" s="42"/>
      <c r="W49" s="42"/>
      <c r="X49" s="42"/>
    </row>
    <row r="50" customFormat="false" ht="21.75" hidden="false" customHeight="true" outlineLevel="0" collapsed="false">
      <c r="A50" s="37"/>
      <c r="B50" s="37"/>
      <c r="C50" s="37"/>
      <c r="D50" s="37"/>
      <c r="E50" s="37"/>
      <c r="F50" s="37"/>
      <c r="G50" s="37"/>
      <c r="H50" s="37"/>
      <c r="I50" s="37"/>
      <c r="J50" s="38" t="str">
        <f aca="false">IF(I50="","",ROUND(I50/1.2,2))</f>
        <v/>
      </c>
      <c r="K50" s="37"/>
      <c r="L50" s="38" t="str">
        <f aca="false">IF(OR(I50="",K50=""),"",I50-K50)</f>
        <v/>
      </c>
      <c r="M50" s="38" t="str">
        <f aca="false">IF(L50="","",L50-N50)</f>
        <v/>
      </c>
      <c r="N50" s="40" t="str">
        <f aca="false">IF(L50="","",ROUND(L50/6,2))</f>
        <v/>
      </c>
      <c r="O50" s="39" t="str">
        <f aca="false">IF(OR(K50="",K50=0),"",M50/K50)</f>
        <v/>
      </c>
      <c r="P50" s="37"/>
      <c r="Q50" s="37"/>
      <c r="R50" s="37"/>
      <c r="S50" s="37"/>
      <c r="T50" s="37"/>
      <c r="U50" s="37"/>
      <c r="V50" s="37"/>
      <c r="W50" s="37"/>
      <c r="X50" s="37"/>
    </row>
    <row r="51" customFormat="false" ht="21.75" hidden="false" customHeight="true" outlineLevel="0" collapsed="false">
      <c r="A51" s="42"/>
      <c r="B51" s="42"/>
      <c r="C51" s="42"/>
      <c r="D51" s="42"/>
      <c r="E51" s="42"/>
      <c r="F51" s="42"/>
      <c r="G51" s="42"/>
      <c r="H51" s="42"/>
      <c r="I51" s="42"/>
      <c r="J51" s="43" t="str">
        <f aca="false">IF(I51="","",ROUND(I51/1.2,2))</f>
        <v/>
      </c>
      <c r="K51" s="42"/>
      <c r="L51" s="43" t="str">
        <f aca="false">IF(OR(I51="",K51=""),"",I51-K51)</f>
        <v/>
      </c>
      <c r="M51" s="43" t="str">
        <f aca="false">IF(L51="","",L51-N51)</f>
        <v/>
      </c>
      <c r="N51" s="45" t="str">
        <f aca="false">IF(L51="","",ROUND(L51/6,2))</f>
        <v/>
      </c>
      <c r="O51" s="44" t="str">
        <f aca="false">IF(OR(K51="",K51=0),"",M51/K51)</f>
        <v/>
      </c>
      <c r="P51" s="42"/>
      <c r="Q51" s="42"/>
      <c r="R51" s="42"/>
      <c r="S51" s="42"/>
      <c r="T51" s="42"/>
      <c r="U51" s="42"/>
      <c r="V51" s="42"/>
      <c r="W51" s="42"/>
      <c r="X51" s="42"/>
    </row>
    <row r="52" customFormat="false" ht="21.75" hidden="false" customHeight="true" outlineLevel="0" collapsed="false">
      <c r="A52" s="37"/>
      <c r="B52" s="37"/>
      <c r="C52" s="37"/>
      <c r="D52" s="37"/>
      <c r="E52" s="37"/>
      <c r="F52" s="37"/>
      <c r="G52" s="37"/>
      <c r="H52" s="37"/>
      <c r="I52" s="37"/>
      <c r="J52" s="38" t="str">
        <f aca="false">IF(I52="","",ROUND(I52/1.2,2))</f>
        <v/>
      </c>
      <c r="K52" s="37"/>
      <c r="L52" s="38" t="str">
        <f aca="false">IF(OR(I52="",K52=""),"",I52-K52)</f>
        <v/>
      </c>
      <c r="M52" s="38" t="str">
        <f aca="false">IF(L52="","",L52-N52)</f>
        <v/>
      </c>
      <c r="N52" s="40" t="str">
        <f aca="false">IF(L52="","",ROUND(L52/6,2))</f>
        <v/>
      </c>
      <c r="O52" s="39" t="str">
        <f aca="false">IF(OR(K52="",K52=0),"",M52/K52)</f>
        <v/>
      </c>
      <c r="P52" s="37"/>
      <c r="Q52" s="37"/>
      <c r="R52" s="37"/>
      <c r="S52" s="37"/>
      <c r="T52" s="37"/>
      <c r="U52" s="37"/>
      <c r="V52" s="37"/>
      <c r="W52" s="37"/>
      <c r="X52" s="37"/>
    </row>
    <row r="53" customFormat="false" ht="21.75" hidden="false" customHeight="true" outlineLevel="0" collapsed="false">
      <c r="A53" s="42"/>
      <c r="B53" s="42"/>
      <c r="C53" s="42"/>
      <c r="D53" s="42"/>
      <c r="E53" s="42"/>
      <c r="F53" s="42"/>
      <c r="G53" s="42"/>
      <c r="H53" s="42"/>
      <c r="I53" s="42"/>
      <c r="J53" s="43" t="str">
        <f aca="false">IF(I53="","",ROUND(I53/1.2,2))</f>
        <v/>
      </c>
      <c r="K53" s="42"/>
      <c r="L53" s="43" t="str">
        <f aca="false">IF(OR(I53="",K53=""),"",I53-K53)</f>
        <v/>
      </c>
      <c r="M53" s="43" t="str">
        <f aca="false">IF(L53="","",L53-N53)</f>
        <v/>
      </c>
      <c r="N53" s="45" t="str">
        <f aca="false">IF(L53="","",ROUND(L53/6,2))</f>
        <v/>
      </c>
      <c r="O53" s="44" t="str">
        <f aca="false">IF(OR(K53="",K53=0),"",M53/K53)</f>
        <v/>
      </c>
      <c r="P53" s="42"/>
      <c r="Q53" s="42"/>
      <c r="R53" s="42"/>
      <c r="S53" s="42"/>
      <c r="T53" s="42"/>
      <c r="U53" s="42"/>
      <c r="V53" s="42"/>
      <c r="W53" s="42"/>
      <c r="X53" s="42"/>
    </row>
    <row r="54" customFormat="false" ht="21.75" hidden="false" customHeight="true" outlineLevel="0" collapsed="false">
      <c r="A54" s="37"/>
      <c r="B54" s="37"/>
      <c r="C54" s="37"/>
      <c r="D54" s="37"/>
      <c r="E54" s="37"/>
      <c r="F54" s="37"/>
      <c r="G54" s="37"/>
      <c r="H54" s="37"/>
      <c r="I54" s="37"/>
      <c r="J54" s="38" t="str">
        <f aca="false">IF(I54="","",ROUND(I54/1.2,2))</f>
        <v/>
      </c>
      <c r="K54" s="37"/>
      <c r="L54" s="38" t="str">
        <f aca="false">IF(OR(I54="",K54=""),"",I54-K54)</f>
        <v/>
      </c>
      <c r="M54" s="38" t="str">
        <f aca="false">IF(L54="","",L54-N54)</f>
        <v/>
      </c>
      <c r="N54" s="40" t="str">
        <f aca="false">IF(L54="","",ROUND(L54/6,2))</f>
        <v/>
      </c>
      <c r="O54" s="39" t="str">
        <f aca="false">IF(OR(K54="",K54=0),"",M54/K54)</f>
        <v/>
      </c>
      <c r="P54" s="37"/>
      <c r="Q54" s="37"/>
      <c r="R54" s="37"/>
      <c r="S54" s="37"/>
      <c r="T54" s="37"/>
      <c r="U54" s="37"/>
      <c r="V54" s="37"/>
      <c r="W54" s="37"/>
      <c r="X54" s="37"/>
    </row>
    <row r="55" customFormat="false" ht="21.75" hidden="false" customHeight="true" outlineLevel="0" collapsed="false">
      <c r="A55" s="42"/>
      <c r="B55" s="42"/>
      <c r="C55" s="42"/>
      <c r="D55" s="42"/>
      <c r="E55" s="42"/>
      <c r="F55" s="42"/>
      <c r="G55" s="42"/>
      <c r="H55" s="42"/>
      <c r="I55" s="42"/>
      <c r="J55" s="43" t="str">
        <f aca="false">IF(I55="","",ROUND(I55/1.2,2))</f>
        <v/>
      </c>
      <c r="K55" s="42"/>
      <c r="L55" s="43" t="str">
        <f aca="false">IF(OR(I55="",K55=""),"",I55-K55)</f>
        <v/>
      </c>
      <c r="M55" s="43" t="str">
        <f aca="false">IF(L55="","",L55-N55)</f>
        <v/>
      </c>
      <c r="N55" s="45" t="str">
        <f aca="false">IF(L55="","",ROUND(L55/6,2))</f>
        <v/>
      </c>
      <c r="O55" s="44" t="str">
        <f aca="false">IF(OR(K55="",K55=0),"",M55/K55)</f>
        <v/>
      </c>
      <c r="P55" s="42"/>
      <c r="Q55" s="42"/>
      <c r="R55" s="42"/>
      <c r="S55" s="42"/>
      <c r="T55" s="42"/>
      <c r="U55" s="42"/>
      <c r="V55" s="42"/>
      <c r="W55" s="42"/>
      <c r="X55" s="42"/>
    </row>
    <row r="56" customFormat="false" ht="21.75" hidden="false" customHeight="true" outlineLevel="0" collapsed="false">
      <c r="A56" s="37"/>
      <c r="B56" s="37"/>
      <c r="C56" s="37"/>
      <c r="D56" s="37"/>
      <c r="E56" s="37"/>
      <c r="F56" s="37"/>
      <c r="G56" s="37"/>
      <c r="H56" s="37"/>
      <c r="I56" s="37"/>
      <c r="J56" s="38" t="str">
        <f aca="false">IF(I56="","",ROUND(I56/1.2,2))</f>
        <v/>
      </c>
      <c r="K56" s="37"/>
      <c r="L56" s="38" t="str">
        <f aca="false">IF(OR(I56="",K56=""),"",I56-K56)</f>
        <v/>
      </c>
      <c r="M56" s="38" t="str">
        <f aca="false">IF(L56="","",L56-N56)</f>
        <v/>
      </c>
      <c r="N56" s="40" t="str">
        <f aca="false">IF(L56="","",ROUND(L56/6,2))</f>
        <v/>
      </c>
      <c r="O56" s="39" t="str">
        <f aca="false">IF(OR(K56="",K56=0),"",M56/K56)</f>
        <v/>
      </c>
      <c r="P56" s="37"/>
      <c r="Q56" s="37"/>
      <c r="R56" s="37"/>
      <c r="S56" s="37"/>
      <c r="T56" s="37"/>
      <c r="U56" s="37"/>
      <c r="V56" s="37"/>
      <c r="W56" s="37"/>
      <c r="X56" s="37"/>
    </row>
    <row r="57" customFormat="false" ht="21.75" hidden="false" customHeight="true" outlineLevel="0" collapsed="false">
      <c r="A57" s="42"/>
      <c r="B57" s="42"/>
      <c r="C57" s="42"/>
      <c r="D57" s="42"/>
      <c r="E57" s="42"/>
      <c r="F57" s="42"/>
      <c r="G57" s="42"/>
      <c r="H57" s="42"/>
      <c r="I57" s="42"/>
      <c r="J57" s="43" t="str">
        <f aca="false">IF(I57="","",ROUND(I57/1.2,2))</f>
        <v/>
      </c>
      <c r="K57" s="42"/>
      <c r="L57" s="43" t="str">
        <f aca="false">IF(OR(I57="",K57=""),"",I57-K57)</f>
        <v/>
      </c>
      <c r="M57" s="43" t="str">
        <f aca="false">IF(L57="","",L57-N57)</f>
        <v/>
      </c>
      <c r="N57" s="45" t="str">
        <f aca="false">IF(L57="","",ROUND(L57/6,2))</f>
        <v/>
      </c>
      <c r="O57" s="44" t="str">
        <f aca="false">IF(OR(K57="",K57=0),"",M57/K57)</f>
        <v/>
      </c>
      <c r="P57" s="42"/>
      <c r="Q57" s="42"/>
      <c r="R57" s="42"/>
      <c r="S57" s="42"/>
      <c r="T57" s="42"/>
      <c r="U57" s="42"/>
      <c r="V57" s="42"/>
      <c r="W57" s="42"/>
      <c r="X57" s="42"/>
    </row>
    <row r="58" customFormat="false" ht="21.75" hidden="false" customHeight="true" outlineLevel="0" collapsed="false">
      <c r="A58" s="37"/>
      <c r="B58" s="37"/>
      <c r="C58" s="37"/>
      <c r="D58" s="37"/>
      <c r="E58" s="37"/>
      <c r="F58" s="37"/>
      <c r="G58" s="37"/>
      <c r="H58" s="37"/>
      <c r="I58" s="37"/>
      <c r="J58" s="38" t="str">
        <f aca="false">IF(I58="","",ROUND(I58/1.2,2))</f>
        <v/>
      </c>
      <c r="K58" s="37"/>
      <c r="L58" s="38" t="str">
        <f aca="false">IF(OR(I58="",K58=""),"",I58-K58)</f>
        <v/>
      </c>
      <c r="M58" s="38" t="str">
        <f aca="false">IF(L58="","",L58-N58)</f>
        <v/>
      </c>
      <c r="N58" s="40" t="str">
        <f aca="false">IF(L58="","",ROUND(L58/6,2))</f>
        <v/>
      </c>
      <c r="O58" s="39" t="str">
        <f aca="false">IF(OR(K58="",K58=0),"",M58/K58)</f>
        <v/>
      </c>
      <c r="P58" s="37"/>
      <c r="Q58" s="37"/>
      <c r="R58" s="37"/>
      <c r="S58" s="37"/>
      <c r="T58" s="37"/>
      <c r="U58" s="37"/>
      <c r="V58" s="37"/>
      <c r="W58" s="37"/>
      <c r="X58" s="37"/>
    </row>
    <row r="59" customFormat="false" ht="21.75" hidden="false" customHeight="true" outlineLevel="0" collapsed="false">
      <c r="A59" s="42"/>
      <c r="B59" s="42"/>
      <c r="C59" s="42"/>
      <c r="D59" s="42"/>
      <c r="E59" s="42"/>
      <c r="F59" s="42"/>
      <c r="G59" s="42"/>
      <c r="H59" s="42"/>
      <c r="I59" s="42"/>
      <c r="J59" s="43" t="str">
        <f aca="false">IF(I59="","",ROUND(I59/1.2,2))</f>
        <v/>
      </c>
      <c r="K59" s="42"/>
      <c r="L59" s="43" t="str">
        <f aca="false">IF(OR(I59="",K59=""),"",I59-K59)</f>
        <v/>
      </c>
      <c r="M59" s="43" t="str">
        <f aca="false">IF(L59="","",L59-N59)</f>
        <v/>
      </c>
      <c r="N59" s="45" t="str">
        <f aca="false">IF(L59="","",ROUND(L59/6,2))</f>
        <v/>
      </c>
      <c r="O59" s="44" t="str">
        <f aca="false">IF(OR(K59="",K59=0),"",M59/K59)</f>
        <v/>
      </c>
      <c r="P59" s="42"/>
      <c r="Q59" s="42"/>
      <c r="R59" s="42"/>
      <c r="S59" s="42"/>
      <c r="T59" s="42"/>
      <c r="U59" s="42"/>
      <c r="V59" s="42"/>
      <c r="W59" s="42"/>
      <c r="X59" s="42"/>
    </row>
    <row r="60" customFormat="false" ht="21.75" hidden="false" customHeight="true" outlineLevel="0" collapsed="false">
      <c r="A60" s="37"/>
      <c r="B60" s="37"/>
      <c r="C60" s="37"/>
      <c r="D60" s="37"/>
      <c r="E60" s="37"/>
      <c r="F60" s="37"/>
      <c r="G60" s="37"/>
      <c r="H60" s="37"/>
      <c r="I60" s="37"/>
      <c r="J60" s="38" t="str">
        <f aca="false">IF(I60="","",ROUND(I60/1.2,2))</f>
        <v/>
      </c>
      <c r="K60" s="37"/>
      <c r="L60" s="38" t="str">
        <f aca="false">IF(OR(I60="",K60=""),"",I60-K60)</f>
        <v/>
      </c>
      <c r="M60" s="38" t="str">
        <f aca="false">IF(L60="","",L60-N60)</f>
        <v/>
      </c>
      <c r="N60" s="40" t="str">
        <f aca="false">IF(L60="","",ROUND(L60/6,2))</f>
        <v/>
      </c>
      <c r="O60" s="39" t="str">
        <f aca="false">IF(OR(K60="",K60=0),"",M60/K60)</f>
        <v/>
      </c>
      <c r="P60" s="37"/>
      <c r="Q60" s="37"/>
      <c r="R60" s="37"/>
      <c r="S60" s="37"/>
      <c r="T60" s="37"/>
      <c r="U60" s="37"/>
      <c r="V60" s="37"/>
      <c r="W60" s="37"/>
      <c r="X60" s="37"/>
    </row>
    <row r="61" customFormat="false" ht="21.75" hidden="false" customHeight="true" outlineLevel="0" collapsed="false">
      <c r="A61" s="42"/>
      <c r="B61" s="42"/>
      <c r="C61" s="42"/>
      <c r="D61" s="42"/>
      <c r="E61" s="42"/>
      <c r="F61" s="42"/>
      <c r="G61" s="42"/>
      <c r="H61" s="42"/>
      <c r="I61" s="42"/>
      <c r="J61" s="43" t="str">
        <f aca="false">IF(I61="","",ROUND(I61/1.2,2))</f>
        <v/>
      </c>
      <c r="K61" s="42"/>
      <c r="L61" s="43" t="str">
        <f aca="false">IF(OR(I61="",K61=""),"",I61-K61)</f>
        <v/>
      </c>
      <c r="M61" s="43" t="str">
        <f aca="false">IF(L61="","",L61-N61)</f>
        <v/>
      </c>
      <c r="N61" s="45" t="str">
        <f aca="false">IF(L61="","",ROUND(L61/6,2))</f>
        <v/>
      </c>
      <c r="O61" s="44" t="str">
        <f aca="false">IF(OR(K61="",K61=0),"",M61/K61)</f>
        <v/>
      </c>
      <c r="P61" s="42"/>
      <c r="Q61" s="42"/>
      <c r="R61" s="42"/>
      <c r="S61" s="42"/>
      <c r="T61" s="42"/>
      <c r="U61" s="42"/>
      <c r="V61" s="42"/>
      <c r="W61" s="42"/>
      <c r="X61" s="42"/>
    </row>
    <row r="62" customFormat="false" ht="21.75" hidden="false" customHeight="true" outlineLevel="0" collapsed="false">
      <c r="A62" s="37"/>
      <c r="B62" s="37"/>
      <c r="C62" s="37"/>
      <c r="D62" s="37"/>
      <c r="E62" s="37"/>
      <c r="F62" s="37"/>
      <c r="G62" s="37"/>
      <c r="H62" s="37"/>
      <c r="I62" s="37"/>
      <c r="J62" s="38" t="str">
        <f aca="false">IF(I62="","",ROUND(I62/1.2,2))</f>
        <v/>
      </c>
      <c r="K62" s="37"/>
      <c r="L62" s="38" t="str">
        <f aca="false">IF(OR(I62="",K62=""),"",I62-K62)</f>
        <v/>
      </c>
      <c r="M62" s="38" t="str">
        <f aca="false">IF(L62="","",L62-N62)</f>
        <v/>
      </c>
      <c r="N62" s="40" t="str">
        <f aca="false">IF(L62="","",ROUND(L62/6,2))</f>
        <v/>
      </c>
      <c r="O62" s="39" t="str">
        <f aca="false">IF(OR(K62="",K62=0),"",M62/K62)</f>
        <v/>
      </c>
      <c r="P62" s="37"/>
      <c r="Q62" s="37"/>
      <c r="R62" s="37"/>
      <c r="S62" s="37"/>
      <c r="T62" s="37"/>
      <c r="U62" s="37"/>
      <c r="V62" s="37"/>
      <c r="W62" s="37"/>
      <c r="X62" s="37"/>
    </row>
    <row r="63" customFormat="false" ht="21.75" hidden="false" customHeight="true" outlineLevel="0" collapsed="false">
      <c r="A63" s="42"/>
      <c r="B63" s="42"/>
      <c r="C63" s="42"/>
      <c r="D63" s="42"/>
      <c r="E63" s="42"/>
      <c r="F63" s="42"/>
      <c r="G63" s="42"/>
      <c r="H63" s="42"/>
      <c r="I63" s="42"/>
      <c r="J63" s="43" t="str">
        <f aca="false">IF(I63="","",ROUND(I63/1.2,2))</f>
        <v/>
      </c>
      <c r="K63" s="42"/>
      <c r="L63" s="43" t="str">
        <f aca="false">IF(OR(I63="",K63=""),"",I63-K63)</f>
        <v/>
      </c>
      <c r="M63" s="43" t="str">
        <f aca="false">IF(L63="","",L63-N63)</f>
        <v/>
      </c>
      <c r="N63" s="45" t="str">
        <f aca="false">IF(L63="","",ROUND(L63/6,2))</f>
        <v/>
      </c>
      <c r="O63" s="44" t="str">
        <f aca="false">IF(OR(K63="",K63=0),"",M63/K63)</f>
        <v/>
      </c>
      <c r="P63" s="42"/>
      <c r="Q63" s="42"/>
      <c r="R63" s="42"/>
      <c r="S63" s="42"/>
      <c r="T63" s="42"/>
      <c r="U63" s="42"/>
      <c r="V63" s="42"/>
      <c r="W63" s="42"/>
      <c r="X63" s="42"/>
    </row>
    <row r="64" customFormat="false" ht="21.75" hidden="false" customHeight="true" outlineLevel="0" collapsed="false">
      <c r="A64" s="37"/>
      <c r="B64" s="37"/>
      <c r="C64" s="37"/>
      <c r="D64" s="37"/>
      <c r="E64" s="37"/>
      <c r="F64" s="37"/>
      <c r="G64" s="37"/>
      <c r="H64" s="37"/>
      <c r="I64" s="37"/>
      <c r="J64" s="38" t="str">
        <f aca="false">IF(I64="","",ROUND(I64/1.2,2))</f>
        <v/>
      </c>
      <c r="K64" s="37"/>
      <c r="L64" s="38" t="str">
        <f aca="false">IF(OR(I64="",K64=""),"",I64-K64)</f>
        <v/>
      </c>
      <c r="M64" s="38" t="str">
        <f aca="false">IF(L64="","",L64-N64)</f>
        <v/>
      </c>
      <c r="N64" s="40" t="str">
        <f aca="false">IF(L64="","",ROUND(L64/6,2))</f>
        <v/>
      </c>
      <c r="O64" s="39" t="str">
        <f aca="false">IF(OR(K64="",K64=0),"",M64/K64)</f>
        <v/>
      </c>
      <c r="P64" s="37"/>
      <c r="Q64" s="37"/>
      <c r="R64" s="37"/>
      <c r="S64" s="37"/>
      <c r="T64" s="37"/>
      <c r="U64" s="37"/>
      <c r="V64" s="37"/>
      <c r="W64" s="37"/>
      <c r="X64" s="37"/>
    </row>
    <row r="65" customFormat="false" ht="21.75" hidden="false" customHeight="true" outlineLevel="0" collapsed="false">
      <c r="A65" s="42"/>
      <c r="B65" s="42"/>
      <c r="C65" s="42"/>
      <c r="D65" s="42"/>
      <c r="E65" s="42"/>
      <c r="F65" s="42"/>
      <c r="G65" s="42"/>
      <c r="H65" s="42"/>
      <c r="I65" s="42"/>
      <c r="J65" s="43" t="str">
        <f aca="false">IF(I65="","",ROUND(I65/1.2,2))</f>
        <v/>
      </c>
      <c r="K65" s="42"/>
      <c r="L65" s="43" t="str">
        <f aca="false">IF(OR(I65="",K65=""),"",I65-K65)</f>
        <v/>
      </c>
      <c r="M65" s="43" t="str">
        <f aca="false">IF(L65="","",L65-N65)</f>
        <v/>
      </c>
      <c r="N65" s="45" t="str">
        <f aca="false">IF(L65="","",ROUND(L65/6,2))</f>
        <v/>
      </c>
      <c r="O65" s="44" t="str">
        <f aca="false">IF(OR(K65="",K65=0),"",M65/K65)</f>
        <v/>
      </c>
      <c r="P65" s="42"/>
      <c r="Q65" s="42"/>
      <c r="R65" s="42"/>
      <c r="S65" s="42"/>
      <c r="T65" s="42"/>
      <c r="U65" s="42"/>
      <c r="V65" s="42"/>
      <c r="W65" s="42"/>
      <c r="X65" s="42"/>
    </row>
    <row r="66" customFormat="false" ht="21.75" hidden="false" customHeight="true" outlineLevel="0" collapsed="false">
      <c r="A66" s="37"/>
      <c r="B66" s="37"/>
      <c r="C66" s="37"/>
      <c r="D66" s="37"/>
      <c r="E66" s="37"/>
      <c r="F66" s="37"/>
      <c r="G66" s="37"/>
      <c r="H66" s="37"/>
      <c r="I66" s="37"/>
      <c r="J66" s="38" t="str">
        <f aca="false">IF(I66="","",ROUND(I66/1.2,2))</f>
        <v/>
      </c>
      <c r="K66" s="37"/>
      <c r="L66" s="38" t="str">
        <f aca="false">IF(OR(I66="",K66=""),"",I66-K66)</f>
        <v/>
      </c>
      <c r="M66" s="38" t="str">
        <f aca="false">IF(L66="","",L66-N66)</f>
        <v/>
      </c>
      <c r="N66" s="40" t="str">
        <f aca="false">IF(L66="","",ROUND(L66/6,2))</f>
        <v/>
      </c>
      <c r="O66" s="39" t="str">
        <f aca="false">IF(OR(K66="",K66=0),"",M66/K66)</f>
        <v/>
      </c>
      <c r="P66" s="37"/>
      <c r="Q66" s="37"/>
      <c r="R66" s="37"/>
      <c r="S66" s="37"/>
      <c r="T66" s="37"/>
      <c r="U66" s="37"/>
      <c r="V66" s="37"/>
      <c r="W66" s="37"/>
      <c r="X66" s="37"/>
    </row>
    <row r="67" customFormat="false" ht="21.75" hidden="false" customHeight="true" outlineLevel="0" collapsed="false">
      <c r="A67" s="42"/>
      <c r="B67" s="42"/>
      <c r="C67" s="42"/>
      <c r="D67" s="42"/>
      <c r="E67" s="42"/>
      <c r="F67" s="42"/>
      <c r="G67" s="42"/>
      <c r="H67" s="42"/>
      <c r="I67" s="42"/>
      <c r="J67" s="43" t="str">
        <f aca="false">IF(I67="","",ROUND(I67/1.2,2))</f>
        <v/>
      </c>
      <c r="K67" s="42"/>
      <c r="L67" s="43" t="str">
        <f aca="false">IF(OR(I67="",K67=""),"",I67-K67)</f>
        <v/>
      </c>
      <c r="M67" s="43" t="str">
        <f aca="false">IF(L67="","",L67-N67)</f>
        <v/>
      </c>
      <c r="N67" s="45" t="str">
        <f aca="false">IF(L67="","",ROUND(L67/6,2))</f>
        <v/>
      </c>
      <c r="O67" s="44" t="str">
        <f aca="false">IF(OR(K67="",K67=0),"",M67/K67)</f>
        <v/>
      </c>
      <c r="P67" s="42"/>
      <c r="Q67" s="42"/>
      <c r="R67" s="42"/>
      <c r="S67" s="42"/>
      <c r="T67" s="42"/>
      <c r="U67" s="42"/>
      <c r="V67" s="42"/>
      <c r="W67" s="42"/>
      <c r="X67" s="42"/>
    </row>
    <row r="68" customFormat="false" ht="21.75" hidden="false" customHeight="true" outlineLevel="0" collapsed="false">
      <c r="A68" s="37"/>
      <c r="B68" s="37"/>
      <c r="C68" s="37"/>
      <c r="D68" s="37"/>
      <c r="E68" s="37"/>
      <c r="F68" s="37"/>
      <c r="G68" s="37"/>
      <c r="H68" s="37"/>
      <c r="I68" s="37"/>
      <c r="J68" s="38" t="str">
        <f aca="false">IF(I68="","",ROUND(I68/1.2,2))</f>
        <v/>
      </c>
      <c r="K68" s="37"/>
      <c r="L68" s="38" t="str">
        <f aca="false">IF(OR(I68="",K68=""),"",I68-K68)</f>
        <v/>
      </c>
      <c r="M68" s="38" t="str">
        <f aca="false">IF(L68="","",L68-N68)</f>
        <v/>
      </c>
      <c r="N68" s="40" t="str">
        <f aca="false">IF(L68="","",ROUND(L68/6,2))</f>
        <v/>
      </c>
      <c r="O68" s="39" t="str">
        <f aca="false">IF(OR(K68="",K68=0),"",M68/K68)</f>
        <v/>
      </c>
      <c r="P68" s="37"/>
      <c r="Q68" s="37"/>
      <c r="R68" s="37"/>
      <c r="S68" s="37"/>
      <c r="T68" s="37"/>
      <c r="U68" s="37"/>
      <c r="V68" s="37"/>
      <c r="W68" s="37"/>
      <c r="X68" s="37"/>
    </row>
    <row r="69" customFormat="false" ht="21.75" hidden="false" customHeight="true" outlineLevel="0" collapsed="false">
      <c r="A69" s="42"/>
      <c r="B69" s="42"/>
      <c r="C69" s="42"/>
      <c r="D69" s="42"/>
      <c r="E69" s="42"/>
      <c r="F69" s="42"/>
      <c r="G69" s="42"/>
      <c r="H69" s="42"/>
      <c r="I69" s="42"/>
      <c r="J69" s="43" t="str">
        <f aca="false">IF(I69="","",ROUND(I69/1.2,2))</f>
        <v/>
      </c>
      <c r="K69" s="42"/>
      <c r="L69" s="43" t="str">
        <f aca="false">IF(OR(I69="",K69=""),"",I69-K69)</f>
        <v/>
      </c>
      <c r="M69" s="43" t="str">
        <f aca="false">IF(L69="","",L69-N69)</f>
        <v/>
      </c>
      <c r="N69" s="45" t="str">
        <f aca="false">IF(L69="","",ROUND(L69/6,2))</f>
        <v/>
      </c>
      <c r="O69" s="44" t="str">
        <f aca="false">IF(OR(K69="",K69=0),"",M69/K69)</f>
        <v/>
      </c>
      <c r="P69" s="42"/>
      <c r="Q69" s="42"/>
      <c r="R69" s="42"/>
      <c r="S69" s="42"/>
      <c r="T69" s="42"/>
      <c r="U69" s="42"/>
      <c r="V69" s="42"/>
      <c r="W69" s="42"/>
      <c r="X69" s="42"/>
    </row>
    <row r="70" customFormat="false" ht="21.75" hidden="false" customHeight="true" outlineLevel="0" collapsed="false">
      <c r="A70" s="37"/>
      <c r="B70" s="37"/>
      <c r="C70" s="37"/>
      <c r="D70" s="37"/>
      <c r="E70" s="37"/>
      <c r="F70" s="37"/>
      <c r="G70" s="37"/>
      <c r="H70" s="37"/>
      <c r="I70" s="37"/>
      <c r="J70" s="38" t="str">
        <f aca="false">IF(I70="","",ROUND(I70/1.2,2))</f>
        <v/>
      </c>
      <c r="K70" s="37"/>
      <c r="L70" s="38" t="str">
        <f aca="false">IF(OR(I70="",K70=""),"",I70-K70)</f>
        <v/>
      </c>
      <c r="M70" s="38" t="str">
        <f aca="false">IF(L70="","",L70-N70)</f>
        <v/>
      </c>
      <c r="N70" s="40" t="str">
        <f aca="false">IF(L70="","",ROUND(L70/6,2))</f>
        <v/>
      </c>
      <c r="O70" s="39" t="str">
        <f aca="false">IF(OR(K70="",K70=0),"",M70/K70)</f>
        <v/>
      </c>
      <c r="P70" s="37"/>
      <c r="Q70" s="37"/>
      <c r="R70" s="37"/>
      <c r="S70" s="37"/>
      <c r="T70" s="37"/>
      <c r="U70" s="37"/>
      <c r="V70" s="37"/>
      <c r="W70" s="37"/>
      <c r="X70" s="37"/>
    </row>
    <row r="71" customFormat="false" ht="21.75" hidden="false" customHeight="true" outlineLevel="0" collapsed="false">
      <c r="A71" s="42"/>
      <c r="B71" s="42"/>
      <c r="C71" s="42"/>
      <c r="D71" s="42"/>
      <c r="E71" s="42"/>
      <c r="F71" s="42"/>
      <c r="G71" s="42"/>
      <c r="H71" s="42"/>
      <c r="I71" s="42"/>
      <c r="J71" s="43" t="str">
        <f aca="false">IF(I71="","",ROUND(I71/1.2,2))</f>
        <v/>
      </c>
      <c r="K71" s="42"/>
      <c r="L71" s="43" t="str">
        <f aca="false">IF(OR(I71="",K71=""),"",I71-K71)</f>
        <v/>
      </c>
      <c r="M71" s="43" t="str">
        <f aca="false">IF(L71="","",L71-N71)</f>
        <v/>
      </c>
      <c r="N71" s="45" t="str">
        <f aca="false">IF(L71="","",ROUND(L71/6,2))</f>
        <v/>
      </c>
      <c r="O71" s="44" t="str">
        <f aca="false">IF(OR(K71="",K71=0),"",M71/K71)</f>
        <v/>
      </c>
      <c r="P71" s="42"/>
      <c r="Q71" s="42"/>
      <c r="R71" s="42"/>
      <c r="S71" s="42"/>
      <c r="T71" s="42"/>
      <c r="U71" s="42"/>
      <c r="V71" s="42"/>
      <c r="W71" s="42"/>
      <c r="X71" s="42"/>
    </row>
    <row r="72" customFormat="false" ht="21.75" hidden="false" customHeight="true" outlineLevel="0" collapsed="false">
      <c r="A72" s="37"/>
      <c r="B72" s="37"/>
      <c r="C72" s="37"/>
      <c r="D72" s="37"/>
      <c r="E72" s="37"/>
      <c r="F72" s="37"/>
      <c r="G72" s="37"/>
      <c r="H72" s="37"/>
      <c r="I72" s="37"/>
      <c r="J72" s="38" t="str">
        <f aca="false">IF(I72="","",ROUND(I72/1.2,2))</f>
        <v/>
      </c>
      <c r="K72" s="37"/>
      <c r="L72" s="38" t="str">
        <f aca="false">IF(OR(I72="",K72=""),"",I72-K72)</f>
        <v/>
      </c>
      <c r="M72" s="38" t="str">
        <f aca="false">IF(L72="","",L72-N72)</f>
        <v/>
      </c>
      <c r="N72" s="40" t="str">
        <f aca="false">IF(L72="","",ROUND(L72/6,2))</f>
        <v/>
      </c>
      <c r="O72" s="39" t="str">
        <f aca="false">IF(OR(K72="",K72=0),"",M72/K72)</f>
        <v/>
      </c>
      <c r="P72" s="37"/>
      <c r="Q72" s="37"/>
      <c r="R72" s="37"/>
      <c r="S72" s="37"/>
      <c r="T72" s="37"/>
      <c r="U72" s="37"/>
      <c r="V72" s="37"/>
      <c r="W72" s="37"/>
      <c r="X72" s="37"/>
    </row>
    <row r="73" customFormat="false" ht="21.75" hidden="false" customHeight="true" outlineLevel="0" collapsed="false">
      <c r="A73" s="42"/>
      <c r="B73" s="42"/>
      <c r="C73" s="42"/>
      <c r="D73" s="42"/>
      <c r="E73" s="42"/>
      <c r="F73" s="42"/>
      <c r="G73" s="42"/>
      <c r="H73" s="42"/>
      <c r="I73" s="42"/>
      <c r="J73" s="43" t="str">
        <f aca="false">IF(I73="","",ROUND(I73/1.2,2))</f>
        <v/>
      </c>
      <c r="K73" s="42"/>
      <c r="L73" s="43" t="str">
        <f aca="false">IF(OR(I73="",K73=""),"",I73-K73)</f>
        <v/>
      </c>
      <c r="M73" s="43" t="str">
        <f aca="false">IF(L73="","",L73-N73)</f>
        <v/>
      </c>
      <c r="N73" s="45" t="str">
        <f aca="false">IF(L73="","",ROUND(L73/6,2))</f>
        <v/>
      </c>
      <c r="O73" s="44" t="str">
        <f aca="false">IF(OR(K73="",K73=0),"",M73/K73)</f>
        <v/>
      </c>
      <c r="P73" s="42"/>
      <c r="Q73" s="42"/>
      <c r="R73" s="42"/>
      <c r="S73" s="42"/>
      <c r="T73" s="42"/>
      <c r="U73" s="42"/>
      <c r="V73" s="42"/>
      <c r="W73" s="42"/>
      <c r="X73" s="42"/>
    </row>
    <row r="74" customFormat="false" ht="21.75" hidden="false" customHeight="true" outlineLevel="0" collapsed="false">
      <c r="A74" s="37"/>
      <c r="B74" s="37"/>
      <c r="C74" s="37"/>
      <c r="D74" s="37"/>
      <c r="E74" s="37"/>
      <c r="F74" s="37"/>
      <c r="G74" s="37"/>
      <c r="H74" s="37"/>
      <c r="I74" s="37"/>
      <c r="J74" s="38" t="str">
        <f aca="false">IF(I74="","",ROUND(I74/1.2,2))</f>
        <v/>
      </c>
      <c r="K74" s="37"/>
      <c r="L74" s="38" t="str">
        <f aca="false">IF(OR(I74="",K74=""),"",I74-K74)</f>
        <v/>
      </c>
      <c r="M74" s="38" t="str">
        <f aca="false">IF(L74="","",L74-N74)</f>
        <v/>
      </c>
      <c r="N74" s="40" t="str">
        <f aca="false">IF(L74="","",ROUND(L74/6,2))</f>
        <v/>
      </c>
      <c r="O74" s="39" t="str">
        <f aca="false">IF(OR(K74="",K74=0),"",M74/K74)</f>
        <v/>
      </c>
      <c r="P74" s="37"/>
      <c r="Q74" s="37"/>
      <c r="R74" s="37"/>
      <c r="S74" s="37"/>
      <c r="T74" s="37"/>
      <c r="U74" s="37"/>
      <c r="V74" s="37"/>
      <c r="W74" s="37"/>
      <c r="X74" s="37"/>
    </row>
    <row r="75" customFormat="false" ht="21.75" hidden="false" customHeight="true" outlineLevel="0" collapsed="false">
      <c r="A75" s="42"/>
      <c r="B75" s="42"/>
      <c r="C75" s="42"/>
      <c r="D75" s="42"/>
      <c r="E75" s="42"/>
      <c r="F75" s="42"/>
      <c r="G75" s="42"/>
      <c r="H75" s="42"/>
      <c r="I75" s="42"/>
      <c r="J75" s="43" t="str">
        <f aca="false">IF(I75="","",ROUND(I75/1.2,2))</f>
        <v/>
      </c>
      <c r="K75" s="42"/>
      <c r="L75" s="43" t="str">
        <f aca="false">IF(OR(I75="",K75=""),"",I75-K75)</f>
        <v/>
      </c>
      <c r="M75" s="43" t="str">
        <f aca="false">IF(L75="","",L75-N75)</f>
        <v/>
      </c>
      <c r="N75" s="45" t="str">
        <f aca="false">IF(L75="","",ROUND(L75/6,2))</f>
        <v/>
      </c>
      <c r="O75" s="44" t="str">
        <f aca="false">IF(OR(K75="",K75=0),"",M75/K75)</f>
        <v/>
      </c>
      <c r="P75" s="42"/>
      <c r="Q75" s="42"/>
      <c r="R75" s="42"/>
      <c r="S75" s="42"/>
      <c r="T75" s="42"/>
      <c r="U75" s="42"/>
      <c r="V75" s="42"/>
      <c r="W75" s="42"/>
      <c r="X75" s="42"/>
    </row>
    <row r="76" customFormat="false" ht="21.75" hidden="false" customHeight="true" outlineLevel="0" collapsed="false">
      <c r="A76" s="37"/>
      <c r="B76" s="37"/>
      <c r="C76" s="37"/>
      <c r="D76" s="37"/>
      <c r="E76" s="37"/>
      <c r="F76" s="37"/>
      <c r="G76" s="37"/>
      <c r="H76" s="37"/>
      <c r="I76" s="37"/>
      <c r="J76" s="38" t="str">
        <f aca="false">IF(I76="","",ROUND(I76/1.2,2))</f>
        <v/>
      </c>
      <c r="K76" s="37"/>
      <c r="L76" s="38" t="str">
        <f aca="false">IF(OR(I76="",K76=""),"",I76-K76)</f>
        <v/>
      </c>
      <c r="M76" s="38" t="str">
        <f aca="false">IF(L76="","",L76-N76)</f>
        <v/>
      </c>
      <c r="N76" s="40" t="str">
        <f aca="false">IF(L76="","",ROUND(L76/6,2))</f>
        <v/>
      </c>
      <c r="O76" s="39" t="str">
        <f aca="false">IF(OR(K76="",K76=0),"",M76/K76)</f>
        <v/>
      </c>
      <c r="P76" s="37"/>
      <c r="Q76" s="37"/>
      <c r="R76" s="37"/>
      <c r="S76" s="37"/>
      <c r="T76" s="37"/>
      <c r="U76" s="37"/>
      <c r="V76" s="37"/>
      <c r="W76" s="37"/>
      <c r="X76" s="37"/>
    </row>
    <row r="77" customFormat="false" ht="21.75" hidden="false" customHeight="true" outlineLevel="0" collapsed="false">
      <c r="A77" s="42"/>
      <c r="B77" s="42"/>
      <c r="C77" s="42"/>
      <c r="D77" s="42"/>
      <c r="E77" s="42"/>
      <c r="F77" s="42"/>
      <c r="G77" s="42"/>
      <c r="H77" s="42"/>
      <c r="I77" s="42"/>
      <c r="J77" s="43" t="str">
        <f aca="false">IF(I77="","",ROUND(I77/1.2,2))</f>
        <v/>
      </c>
      <c r="K77" s="42"/>
      <c r="L77" s="43" t="str">
        <f aca="false">IF(OR(I77="",K77=""),"",I77-K77)</f>
        <v/>
      </c>
      <c r="M77" s="43" t="str">
        <f aca="false">IF(L77="","",L77-N77)</f>
        <v/>
      </c>
      <c r="N77" s="45" t="str">
        <f aca="false">IF(L77="","",ROUND(L77/6,2))</f>
        <v/>
      </c>
      <c r="O77" s="44" t="str">
        <f aca="false">IF(OR(K77="",K77=0),"",M77/K77)</f>
        <v/>
      </c>
      <c r="P77" s="42"/>
      <c r="Q77" s="42"/>
      <c r="R77" s="42"/>
      <c r="S77" s="42"/>
      <c r="T77" s="42"/>
      <c r="U77" s="42"/>
      <c r="V77" s="42"/>
      <c r="W77" s="42"/>
      <c r="X77" s="42"/>
    </row>
    <row r="78" customFormat="false" ht="21.75" hidden="false" customHeight="true" outlineLevel="0" collapsed="false">
      <c r="A78" s="37"/>
      <c r="B78" s="37"/>
      <c r="C78" s="37"/>
      <c r="D78" s="37"/>
      <c r="E78" s="37"/>
      <c r="F78" s="37"/>
      <c r="G78" s="37"/>
      <c r="H78" s="37"/>
      <c r="I78" s="37"/>
      <c r="J78" s="38" t="str">
        <f aca="false">IF(I78="","",ROUND(I78/1.2,2))</f>
        <v/>
      </c>
      <c r="K78" s="37"/>
      <c r="L78" s="38" t="str">
        <f aca="false">IF(OR(I78="",K78=""),"",I78-K78)</f>
        <v/>
      </c>
      <c r="M78" s="38" t="str">
        <f aca="false">IF(L78="","",L78-N78)</f>
        <v/>
      </c>
      <c r="N78" s="40" t="str">
        <f aca="false">IF(L78="","",ROUND(L78/6,2))</f>
        <v/>
      </c>
      <c r="O78" s="39" t="str">
        <f aca="false">IF(OR(K78="",K78=0),"",M78/K78)</f>
        <v/>
      </c>
      <c r="P78" s="37"/>
      <c r="Q78" s="37"/>
      <c r="R78" s="37"/>
      <c r="S78" s="37"/>
      <c r="T78" s="37"/>
      <c r="U78" s="37"/>
      <c r="V78" s="37"/>
      <c r="W78" s="37"/>
      <c r="X78" s="37"/>
    </row>
    <row r="79" customFormat="false" ht="21.75" hidden="false" customHeight="true" outlineLevel="0" collapsed="false">
      <c r="A79" s="42"/>
      <c r="B79" s="42"/>
      <c r="C79" s="42"/>
      <c r="D79" s="42"/>
      <c r="E79" s="42"/>
      <c r="F79" s="42"/>
      <c r="G79" s="42"/>
      <c r="H79" s="42"/>
      <c r="I79" s="42"/>
      <c r="J79" s="43" t="str">
        <f aca="false">IF(I79="","",ROUND(I79/1.2,2))</f>
        <v/>
      </c>
      <c r="K79" s="42"/>
      <c r="L79" s="43" t="str">
        <f aca="false">IF(OR(I79="",K79=""),"",I79-K79)</f>
        <v/>
      </c>
      <c r="M79" s="43" t="str">
        <f aca="false">IF(L79="","",L79-N79)</f>
        <v/>
      </c>
      <c r="N79" s="45" t="str">
        <f aca="false">IF(L79="","",ROUND(L79/6,2))</f>
        <v/>
      </c>
      <c r="O79" s="44" t="str">
        <f aca="false">IF(OR(K79="",K79=0),"",M79/K79)</f>
        <v/>
      </c>
      <c r="P79" s="42"/>
      <c r="Q79" s="42"/>
      <c r="R79" s="42"/>
      <c r="S79" s="42"/>
      <c r="T79" s="42"/>
      <c r="U79" s="42"/>
      <c r="V79" s="42"/>
      <c r="W79" s="42"/>
      <c r="X79" s="42"/>
    </row>
    <row r="80" customFormat="false" ht="21.75" hidden="false" customHeight="true" outlineLevel="0" collapsed="false">
      <c r="A80" s="37"/>
      <c r="B80" s="37"/>
      <c r="C80" s="37"/>
      <c r="D80" s="37"/>
      <c r="E80" s="37"/>
      <c r="F80" s="37"/>
      <c r="G80" s="37"/>
      <c r="H80" s="37"/>
      <c r="I80" s="37"/>
      <c r="J80" s="38" t="str">
        <f aca="false">IF(I80="","",ROUND(I80/1.2,2))</f>
        <v/>
      </c>
      <c r="K80" s="37"/>
      <c r="L80" s="38" t="str">
        <f aca="false">IF(OR(I80="",K80=""),"",I80-K80)</f>
        <v/>
      </c>
      <c r="M80" s="38" t="str">
        <f aca="false">IF(L80="","",L80-N80)</f>
        <v/>
      </c>
      <c r="N80" s="40" t="str">
        <f aca="false">IF(L80="","",ROUND(L80/6,2))</f>
        <v/>
      </c>
      <c r="O80" s="39" t="str">
        <f aca="false">IF(OR(K80="",K80=0),"",M80/K80)</f>
        <v/>
      </c>
      <c r="P80" s="37"/>
      <c r="Q80" s="37"/>
      <c r="R80" s="37"/>
      <c r="S80" s="37"/>
      <c r="T80" s="37"/>
      <c r="U80" s="37"/>
      <c r="V80" s="37"/>
      <c r="W80" s="37"/>
      <c r="X80" s="37"/>
    </row>
    <row r="81" customFormat="false" ht="21.75" hidden="false" customHeight="true" outlineLevel="0" collapsed="false">
      <c r="A81" s="42"/>
      <c r="B81" s="42"/>
      <c r="C81" s="42"/>
      <c r="D81" s="42"/>
      <c r="E81" s="42"/>
      <c r="F81" s="42"/>
      <c r="G81" s="42"/>
      <c r="H81" s="42"/>
      <c r="I81" s="42"/>
      <c r="J81" s="43" t="str">
        <f aca="false">IF(I81="","",ROUND(I81/1.2,2))</f>
        <v/>
      </c>
      <c r="K81" s="42"/>
      <c r="L81" s="43" t="str">
        <f aca="false">IF(OR(I81="",K81=""),"",I81-K81)</f>
        <v/>
      </c>
      <c r="M81" s="43" t="str">
        <f aca="false">IF(L81="","",L81-N81)</f>
        <v/>
      </c>
      <c r="N81" s="45" t="str">
        <f aca="false">IF(L81="","",ROUND(L81/6,2))</f>
        <v/>
      </c>
      <c r="O81" s="44" t="str">
        <f aca="false">IF(OR(K81="",K81=0),"",M81/K81)</f>
        <v/>
      </c>
      <c r="P81" s="42"/>
      <c r="Q81" s="42"/>
      <c r="R81" s="42"/>
      <c r="S81" s="42"/>
      <c r="T81" s="42"/>
      <c r="U81" s="42"/>
      <c r="V81" s="42"/>
      <c r="W81" s="42"/>
      <c r="X81" s="42"/>
    </row>
    <row r="82" customFormat="false" ht="21.75" hidden="false" customHeight="true" outlineLevel="0" collapsed="false">
      <c r="A82" s="37"/>
      <c r="B82" s="37"/>
      <c r="C82" s="37"/>
      <c r="D82" s="37"/>
      <c r="E82" s="37"/>
      <c r="F82" s="37"/>
      <c r="G82" s="37"/>
      <c r="H82" s="37"/>
      <c r="I82" s="37"/>
      <c r="J82" s="38" t="str">
        <f aca="false">IF(I82="","",ROUND(I82/1.2,2))</f>
        <v/>
      </c>
      <c r="K82" s="37"/>
      <c r="L82" s="38" t="str">
        <f aca="false">IF(OR(I82="",K82=""),"",I82-K82)</f>
        <v/>
      </c>
      <c r="M82" s="38" t="str">
        <f aca="false">IF(L82="","",L82-N82)</f>
        <v/>
      </c>
      <c r="N82" s="40" t="str">
        <f aca="false">IF(L82="","",ROUND(L82/6,2))</f>
        <v/>
      </c>
      <c r="O82" s="39" t="str">
        <f aca="false">IF(OR(K82="",K82=0),"",M82/K82)</f>
        <v/>
      </c>
      <c r="P82" s="37"/>
      <c r="Q82" s="37"/>
      <c r="R82" s="37"/>
      <c r="S82" s="37"/>
      <c r="T82" s="37"/>
      <c r="U82" s="37"/>
      <c r="V82" s="37"/>
      <c r="W82" s="37"/>
      <c r="X82" s="37"/>
    </row>
    <row r="83" customFormat="false" ht="21.75" hidden="false" customHeight="true" outlineLevel="0" collapsed="false">
      <c r="A83" s="42"/>
      <c r="B83" s="42"/>
      <c r="C83" s="42"/>
      <c r="D83" s="42"/>
      <c r="E83" s="42"/>
      <c r="F83" s="42"/>
      <c r="G83" s="42"/>
      <c r="H83" s="42"/>
      <c r="I83" s="42"/>
      <c r="J83" s="43" t="str">
        <f aca="false">IF(I83="","",ROUND(I83/1.2,2))</f>
        <v/>
      </c>
      <c r="K83" s="42"/>
      <c r="L83" s="43" t="str">
        <f aca="false">IF(OR(I83="",K83=""),"",I83-K83)</f>
        <v/>
      </c>
      <c r="M83" s="43" t="str">
        <f aca="false">IF(L83="","",L83-N83)</f>
        <v/>
      </c>
      <c r="N83" s="45" t="str">
        <f aca="false">IF(L83="","",ROUND(L83/6,2))</f>
        <v/>
      </c>
      <c r="O83" s="44" t="str">
        <f aca="false">IF(OR(K83="",K83=0),"",M83/K83)</f>
        <v/>
      </c>
      <c r="P83" s="42"/>
      <c r="Q83" s="42"/>
      <c r="R83" s="42"/>
      <c r="S83" s="42"/>
      <c r="T83" s="42"/>
      <c r="U83" s="42"/>
      <c r="V83" s="42"/>
      <c r="W83" s="42"/>
      <c r="X83" s="42"/>
    </row>
    <row r="84" customFormat="false" ht="21.75" hidden="false" customHeight="true" outlineLevel="0" collapsed="false">
      <c r="A84" s="37"/>
      <c r="B84" s="37"/>
      <c r="C84" s="37"/>
      <c r="D84" s="37"/>
      <c r="E84" s="37"/>
      <c r="F84" s="37"/>
      <c r="G84" s="37"/>
      <c r="H84" s="37"/>
      <c r="I84" s="37"/>
      <c r="J84" s="38" t="str">
        <f aca="false">IF(I84="","",ROUND(I84/1.2,2))</f>
        <v/>
      </c>
      <c r="K84" s="37"/>
      <c r="L84" s="38" t="str">
        <f aca="false">IF(OR(I84="",K84=""),"",I84-K84)</f>
        <v/>
      </c>
      <c r="M84" s="38" t="str">
        <f aca="false">IF(L84="","",L84-N84)</f>
        <v/>
      </c>
      <c r="N84" s="40" t="str">
        <f aca="false">IF(L84="","",ROUND(L84/6,2))</f>
        <v/>
      </c>
      <c r="O84" s="39" t="str">
        <f aca="false">IF(OR(K84="",K84=0),"",M84/K84)</f>
        <v/>
      </c>
      <c r="P84" s="37"/>
      <c r="Q84" s="37"/>
      <c r="R84" s="37"/>
      <c r="S84" s="37"/>
      <c r="T84" s="37"/>
      <c r="U84" s="37"/>
      <c r="V84" s="37"/>
      <c r="W84" s="37"/>
      <c r="X84" s="37"/>
    </row>
    <row r="85" customFormat="false" ht="21.75" hidden="false" customHeight="true" outlineLevel="0" collapsed="false">
      <c r="A85" s="42"/>
      <c r="B85" s="42"/>
      <c r="C85" s="42"/>
      <c r="D85" s="42"/>
      <c r="E85" s="42"/>
      <c r="F85" s="42"/>
      <c r="G85" s="42"/>
      <c r="H85" s="42"/>
      <c r="I85" s="42"/>
      <c r="J85" s="43" t="str">
        <f aca="false">IF(I85="","",ROUND(I85/1.2,2))</f>
        <v/>
      </c>
      <c r="K85" s="42"/>
      <c r="L85" s="43" t="str">
        <f aca="false">IF(OR(I85="",K85=""),"",I85-K85)</f>
        <v/>
      </c>
      <c r="M85" s="43" t="str">
        <f aca="false">IF(L85="","",L85-N85)</f>
        <v/>
      </c>
      <c r="N85" s="45" t="str">
        <f aca="false">IF(L85="","",ROUND(L85/6,2))</f>
        <v/>
      </c>
      <c r="O85" s="44" t="str">
        <f aca="false">IF(OR(K85="",K85=0),"",M85/K85)</f>
        <v/>
      </c>
      <c r="P85" s="42"/>
      <c r="Q85" s="42"/>
      <c r="R85" s="42"/>
      <c r="S85" s="42"/>
      <c r="T85" s="42"/>
      <c r="U85" s="42"/>
      <c r="V85" s="42"/>
      <c r="W85" s="42"/>
      <c r="X85" s="42"/>
    </row>
    <row r="86" customFormat="false" ht="21.75" hidden="false" customHeight="true" outlineLevel="0" collapsed="false">
      <c r="A86" s="37"/>
      <c r="B86" s="37"/>
      <c r="C86" s="37"/>
      <c r="D86" s="37"/>
      <c r="E86" s="37"/>
      <c r="F86" s="37"/>
      <c r="G86" s="37"/>
      <c r="H86" s="37"/>
      <c r="I86" s="37"/>
      <c r="J86" s="38" t="str">
        <f aca="false">IF(I86="","",ROUND(I86/1.2,2))</f>
        <v/>
      </c>
      <c r="K86" s="37"/>
      <c r="L86" s="38" t="str">
        <f aca="false">IF(OR(I86="",K86=""),"",I86-K86)</f>
        <v/>
      </c>
      <c r="M86" s="38" t="str">
        <f aca="false">IF(L86="","",L86-N86)</f>
        <v/>
      </c>
      <c r="N86" s="40" t="str">
        <f aca="false">IF(L86="","",ROUND(L86/6,2))</f>
        <v/>
      </c>
      <c r="O86" s="39" t="str">
        <f aca="false">IF(OR(K86="",K86=0),"",M86/K86)</f>
        <v/>
      </c>
      <c r="P86" s="37"/>
      <c r="Q86" s="37"/>
      <c r="R86" s="37"/>
      <c r="S86" s="37"/>
      <c r="T86" s="37"/>
      <c r="U86" s="37"/>
      <c r="V86" s="37"/>
      <c r="W86" s="37"/>
      <c r="X86" s="37"/>
    </row>
    <row r="87" customFormat="false" ht="21.75" hidden="false" customHeight="true" outlineLevel="0" collapsed="false">
      <c r="A87" s="42"/>
      <c r="B87" s="42"/>
      <c r="C87" s="42"/>
      <c r="D87" s="42"/>
      <c r="E87" s="42"/>
      <c r="F87" s="42"/>
      <c r="G87" s="42"/>
      <c r="H87" s="42"/>
      <c r="I87" s="42"/>
      <c r="J87" s="43" t="str">
        <f aca="false">IF(I87="","",ROUND(I87/1.2,2))</f>
        <v/>
      </c>
      <c r="K87" s="42"/>
      <c r="L87" s="43" t="str">
        <f aca="false">IF(OR(I87="",K87=""),"",I87-K87)</f>
        <v/>
      </c>
      <c r="M87" s="43" t="str">
        <f aca="false">IF(L87="","",L87-N87)</f>
        <v/>
      </c>
      <c r="N87" s="45" t="str">
        <f aca="false">IF(L87="","",ROUND(L87/6,2))</f>
        <v/>
      </c>
      <c r="O87" s="44" t="str">
        <f aca="false">IF(OR(K87="",K87=0),"",M87/K87)</f>
        <v/>
      </c>
      <c r="P87" s="42"/>
      <c r="Q87" s="42"/>
      <c r="R87" s="42"/>
      <c r="S87" s="42"/>
      <c r="T87" s="42"/>
      <c r="U87" s="42"/>
      <c r="V87" s="42"/>
      <c r="W87" s="42"/>
      <c r="X87" s="42"/>
    </row>
    <row r="88" customFormat="false" ht="21.75" hidden="false" customHeight="true" outlineLevel="0" collapsed="false">
      <c r="A88" s="37"/>
      <c r="B88" s="37"/>
      <c r="C88" s="37"/>
      <c r="D88" s="37"/>
      <c r="E88" s="37"/>
      <c r="F88" s="37"/>
      <c r="G88" s="37"/>
      <c r="H88" s="37"/>
      <c r="I88" s="37"/>
      <c r="J88" s="38" t="str">
        <f aca="false">IF(I88="","",ROUND(I88/1.2,2))</f>
        <v/>
      </c>
      <c r="K88" s="37"/>
      <c r="L88" s="38" t="str">
        <f aca="false">IF(OR(I88="",K88=""),"",I88-K88)</f>
        <v/>
      </c>
      <c r="M88" s="38" t="str">
        <f aca="false">IF(L88="","",L88-N88)</f>
        <v/>
      </c>
      <c r="N88" s="40" t="str">
        <f aca="false">IF(L88="","",ROUND(L88/6,2))</f>
        <v/>
      </c>
      <c r="O88" s="39" t="str">
        <f aca="false">IF(OR(K88="",K88=0),"",M88/K88)</f>
        <v/>
      </c>
      <c r="P88" s="37"/>
      <c r="Q88" s="37"/>
      <c r="R88" s="37"/>
      <c r="S88" s="37"/>
      <c r="T88" s="37"/>
      <c r="U88" s="37"/>
      <c r="V88" s="37"/>
      <c r="W88" s="37"/>
      <c r="X88" s="37"/>
    </row>
    <row r="89" customFormat="false" ht="21.75" hidden="false" customHeight="true" outlineLevel="0" collapsed="false">
      <c r="A89" s="42"/>
      <c r="B89" s="42"/>
      <c r="C89" s="42"/>
      <c r="D89" s="42"/>
      <c r="E89" s="42"/>
      <c r="F89" s="42"/>
      <c r="G89" s="42"/>
      <c r="H89" s="42"/>
      <c r="I89" s="42"/>
      <c r="J89" s="43" t="str">
        <f aca="false">IF(I89="","",ROUND(I89/1.2,2))</f>
        <v/>
      </c>
      <c r="K89" s="42"/>
      <c r="L89" s="43" t="str">
        <f aca="false">IF(OR(I89="",K89=""),"",I89-K89)</f>
        <v/>
      </c>
      <c r="M89" s="43" t="str">
        <f aca="false">IF(L89="","",L89-N89)</f>
        <v/>
      </c>
      <c r="N89" s="45" t="str">
        <f aca="false">IF(L89="","",ROUND(L89/6,2))</f>
        <v/>
      </c>
      <c r="O89" s="44" t="str">
        <f aca="false">IF(OR(K89="",K89=0),"",M89/K89)</f>
        <v/>
      </c>
      <c r="P89" s="42"/>
      <c r="Q89" s="42"/>
      <c r="R89" s="42"/>
      <c r="S89" s="42"/>
      <c r="T89" s="42"/>
      <c r="U89" s="42"/>
      <c r="V89" s="42"/>
      <c r="W89" s="42"/>
      <c r="X89" s="42"/>
    </row>
    <row r="90" customFormat="false" ht="21.75" hidden="false" customHeight="true" outlineLevel="0" collapsed="false">
      <c r="A90" s="37"/>
      <c r="B90" s="37"/>
      <c r="C90" s="37"/>
      <c r="D90" s="37"/>
      <c r="E90" s="37"/>
      <c r="F90" s="37"/>
      <c r="G90" s="37"/>
      <c r="H90" s="37"/>
      <c r="I90" s="37"/>
      <c r="J90" s="38" t="str">
        <f aca="false">IF(I90="","",ROUND(I90/1.2,2))</f>
        <v/>
      </c>
      <c r="K90" s="37"/>
      <c r="L90" s="38" t="str">
        <f aca="false">IF(OR(I90="",K90=""),"",I90-K90)</f>
        <v/>
      </c>
      <c r="M90" s="38" t="str">
        <f aca="false">IF(L90="","",L90-N90)</f>
        <v/>
      </c>
      <c r="N90" s="40" t="str">
        <f aca="false">IF(L90="","",ROUND(L90/6,2))</f>
        <v/>
      </c>
      <c r="O90" s="39" t="str">
        <f aca="false">IF(OR(K90="",K90=0),"",M90/K90)</f>
        <v/>
      </c>
      <c r="P90" s="37"/>
      <c r="Q90" s="37"/>
      <c r="R90" s="37"/>
      <c r="S90" s="37"/>
      <c r="T90" s="37"/>
      <c r="U90" s="37"/>
      <c r="V90" s="37"/>
      <c r="W90" s="37"/>
      <c r="X90" s="37"/>
    </row>
    <row r="91" customFormat="false" ht="21.75" hidden="false" customHeight="true" outlineLevel="0" collapsed="false">
      <c r="A91" s="42"/>
      <c r="B91" s="42"/>
      <c r="C91" s="42"/>
      <c r="D91" s="42"/>
      <c r="E91" s="42"/>
      <c r="F91" s="42"/>
      <c r="G91" s="42"/>
      <c r="H91" s="42"/>
      <c r="I91" s="42"/>
      <c r="J91" s="43" t="str">
        <f aca="false">IF(I91="","",ROUND(I91/1.2,2))</f>
        <v/>
      </c>
      <c r="K91" s="42"/>
      <c r="L91" s="43" t="str">
        <f aca="false">IF(OR(I91="",K91=""),"",I91-K91)</f>
        <v/>
      </c>
      <c r="M91" s="43" t="str">
        <f aca="false">IF(L91="","",L91-N91)</f>
        <v/>
      </c>
      <c r="N91" s="45" t="str">
        <f aca="false">IF(L91="","",ROUND(L91/6,2))</f>
        <v/>
      </c>
      <c r="O91" s="44" t="str">
        <f aca="false">IF(OR(K91="",K91=0),"",M91/K91)</f>
        <v/>
      </c>
      <c r="P91" s="42"/>
      <c r="Q91" s="42"/>
      <c r="R91" s="42"/>
      <c r="S91" s="42"/>
      <c r="T91" s="42"/>
      <c r="U91" s="42"/>
      <c r="V91" s="42"/>
      <c r="W91" s="42"/>
      <c r="X91" s="42"/>
    </row>
    <row r="92" customFormat="false" ht="21.75" hidden="false" customHeight="true" outlineLevel="0" collapsed="false">
      <c r="A92" s="37"/>
      <c r="B92" s="37"/>
      <c r="C92" s="37"/>
      <c r="D92" s="37"/>
      <c r="E92" s="37"/>
      <c r="F92" s="37"/>
      <c r="G92" s="37"/>
      <c r="H92" s="37"/>
      <c r="I92" s="37"/>
      <c r="J92" s="38" t="str">
        <f aca="false">IF(I92="","",ROUND(I92/1.2,2))</f>
        <v/>
      </c>
      <c r="K92" s="37"/>
      <c r="L92" s="38" t="str">
        <f aca="false">IF(OR(I92="",K92=""),"",I92-K92)</f>
        <v/>
      </c>
      <c r="M92" s="38" t="str">
        <f aca="false">IF(L92="","",L92-N92)</f>
        <v/>
      </c>
      <c r="N92" s="40" t="str">
        <f aca="false">IF(L92="","",ROUND(L92/6,2))</f>
        <v/>
      </c>
      <c r="O92" s="39" t="str">
        <f aca="false">IF(OR(K92="",K92=0),"",M92/K92)</f>
        <v/>
      </c>
      <c r="P92" s="37"/>
      <c r="Q92" s="37"/>
      <c r="R92" s="37"/>
      <c r="S92" s="37"/>
      <c r="T92" s="37"/>
      <c r="U92" s="37"/>
      <c r="V92" s="37"/>
      <c r="W92" s="37"/>
      <c r="X92" s="37"/>
    </row>
    <row r="93" customFormat="false" ht="21.75" hidden="false" customHeight="true" outlineLevel="0" collapsed="false">
      <c r="A93" s="42"/>
      <c r="B93" s="42"/>
      <c r="C93" s="42"/>
      <c r="D93" s="42"/>
      <c r="E93" s="42"/>
      <c r="F93" s="42"/>
      <c r="G93" s="42"/>
      <c r="H93" s="42"/>
      <c r="I93" s="42"/>
      <c r="J93" s="43" t="str">
        <f aca="false">IF(I93="","",ROUND(I93/1.2,2))</f>
        <v/>
      </c>
      <c r="K93" s="42"/>
      <c r="L93" s="43" t="str">
        <f aca="false">IF(OR(I93="",K93=""),"",I93-K93)</f>
        <v/>
      </c>
      <c r="M93" s="43" t="str">
        <f aca="false">IF(L93="","",L93-N93)</f>
        <v/>
      </c>
      <c r="N93" s="45" t="str">
        <f aca="false">IF(L93="","",ROUND(L93/6,2))</f>
        <v/>
      </c>
      <c r="O93" s="44" t="str">
        <f aca="false">IF(OR(K93="",K93=0),"",M93/K93)</f>
        <v/>
      </c>
      <c r="P93" s="42"/>
      <c r="Q93" s="42"/>
      <c r="R93" s="42"/>
      <c r="S93" s="42"/>
      <c r="T93" s="42"/>
      <c r="U93" s="42"/>
      <c r="V93" s="42"/>
      <c r="W93" s="42"/>
      <c r="X93" s="42"/>
    </row>
    <row r="94" customFormat="false" ht="21.75" hidden="false" customHeight="true" outlineLevel="0" collapsed="false">
      <c r="A94" s="37"/>
      <c r="B94" s="37"/>
      <c r="C94" s="37"/>
      <c r="D94" s="37"/>
      <c r="E94" s="37"/>
      <c r="F94" s="37"/>
      <c r="G94" s="37"/>
      <c r="H94" s="37"/>
      <c r="I94" s="37"/>
      <c r="J94" s="38" t="str">
        <f aca="false">IF(I94="","",ROUND(I94/1.2,2))</f>
        <v/>
      </c>
      <c r="K94" s="37"/>
      <c r="L94" s="38" t="str">
        <f aca="false">IF(OR(I94="",K94=""),"",I94-K94)</f>
        <v/>
      </c>
      <c r="M94" s="38" t="str">
        <f aca="false">IF(L94="","",L94-N94)</f>
        <v/>
      </c>
      <c r="N94" s="40" t="str">
        <f aca="false">IF(L94="","",ROUND(L94/6,2))</f>
        <v/>
      </c>
      <c r="O94" s="39" t="str">
        <f aca="false">IF(OR(K94="",K94=0),"",M94/K94)</f>
        <v/>
      </c>
      <c r="P94" s="37"/>
      <c r="Q94" s="37"/>
      <c r="R94" s="37"/>
      <c r="S94" s="37"/>
      <c r="T94" s="37"/>
      <c r="U94" s="37"/>
      <c r="V94" s="37"/>
      <c r="W94" s="37"/>
      <c r="X94" s="37"/>
    </row>
    <row r="95" customFormat="false" ht="21.75" hidden="false" customHeight="true" outlineLevel="0" collapsed="false">
      <c r="A95" s="42"/>
      <c r="B95" s="42"/>
      <c r="C95" s="42"/>
      <c r="D95" s="42"/>
      <c r="E95" s="42"/>
      <c r="F95" s="42"/>
      <c r="G95" s="42"/>
      <c r="H95" s="42"/>
      <c r="I95" s="42"/>
      <c r="J95" s="43" t="str">
        <f aca="false">IF(I95="","",ROUND(I95/1.2,2))</f>
        <v/>
      </c>
      <c r="K95" s="42"/>
      <c r="L95" s="43" t="str">
        <f aca="false">IF(OR(I95="",K95=""),"",I95-K95)</f>
        <v/>
      </c>
      <c r="M95" s="43" t="str">
        <f aca="false">IF(L95="","",L95-N95)</f>
        <v/>
      </c>
      <c r="N95" s="45" t="str">
        <f aca="false">IF(L95="","",ROUND(L95/6,2))</f>
        <v/>
      </c>
      <c r="O95" s="44" t="str">
        <f aca="false">IF(OR(K95="",K95=0),"",M95/K95)</f>
        <v/>
      </c>
      <c r="P95" s="42"/>
      <c r="Q95" s="42"/>
      <c r="R95" s="42"/>
      <c r="S95" s="42"/>
      <c r="T95" s="42"/>
      <c r="U95" s="42"/>
      <c r="V95" s="42"/>
      <c r="W95" s="42"/>
      <c r="X95" s="42"/>
    </row>
    <row r="96" customFormat="false" ht="21.75" hidden="false" customHeight="true" outlineLevel="0" collapsed="false">
      <c r="A96" s="37"/>
      <c r="B96" s="37"/>
      <c r="C96" s="37"/>
      <c r="D96" s="37"/>
      <c r="E96" s="37"/>
      <c r="F96" s="37"/>
      <c r="G96" s="37"/>
      <c r="H96" s="37"/>
      <c r="I96" s="37"/>
      <c r="J96" s="38" t="str">
        <f aca="false">IF(I96="","",ROUND(I96/1.2,2))</f>
        <v/>
      </c>
      <c r="K96" s="37"/>
      <c r="L96" s="38" t="str">
        <f aca="false">IF(OR(I96="",K96=""),"",I96-K96)</f>
        <v/>
      </c>
      <c r="M96" s="38" t="str">
        <f aca="false">IF(L96="","",L96-N96)</f>
        <v/>
      </c>
      <c r="N96" s="40" t="str">
        <f aca="false">IF(L96="","",ROUND(L96/6,2))</f>
        <v/>
      </c>
      <c r="O96" s="39" t="str">
        <f aca="false">IF(OR(K96="",K96=0),"",M96/K96)</f>
        <v/>
      </c>
      <c r="P96" s="37"/>
      <c r="Q96" s="37"/>
      <c r="R96" s="37"/>
      <c r="S96" s="37"/>
      <c r="T96" s="37"/>
      <c r="U96" s="37"/>
      <c r="V96" s="37"/>
      <c r="W96" s="37"/>
      <c r="X96" s="37"/>
    </row>
    <row r="97" customFormat="false" ht="21.75" hidden="false" customHeight="true" outlineLevel="0" collapsed="false">
      <c r="A97" s="42"/>
      <c r="B97" s="42"/>
      <c r="C97" s="42"/>
      <c r="D97" s="42"/>
      <c r="E97" s="42"/>
      <c r="F97" s="42"/>
      <c r="G97" s="42"/>
      <c r="H97" s="42"/>
      <c r="I97" s="42"/>
      <c r="J97" s="43" t="str">
        <f aca="false">IF(I97="","",ROUND(I97/1.2,2))</f>
        <v/>
      </c>
      <c r="K97" s="42"/>
      <c r="L97" s="43" t="str">
        <f aca="false">IF(OR(I97="",K97=""),"",I97-K97)</f>
        <v/>
      </c>
      <c r="M97" s="43" t="str">
        <f aca="false">IF(L97="","",L97-N97)</f>
        <v/>
      </c>
      <c r="N97" s="45" t="str">
        <f aca="false">IF(L97="","",ROUND(L97/6,2))</f>
        <v/>
      </c>
      <c r="O97" s="44" t="str">
        <f aca="false">IF(OR(K97="",K97=0),"",M97/K97)</f>
        <v/>
      </c>
      <c r="P97" s="42"/>
      <c r="Q97" s="42"/>
      <c r="R97" s="42"/>
      <c r="S97" s="42"/>
      <c r="T97" s="42"/>
      <c r="U97" s="42"/>
      <c r="V97" s="42"/>
      <c r="W97" s="42"/>
      <c r="X97" s="42"/>
    </row>
    <row r="98" customFormat="false" ht="21.75" hidden="false" customHeight="true" outlineLevel="0" collapsed="false">
      <c r="A98" s="37"/>
      <c r="B98" s="37"/>
      <c r="C98" s="37"/>
      <c r="D98" s="37"/>
      <c r="E98" s="37"/>
      <c r="F98" s="37"/>
      <c r="G98" s="37"/>
      <c r="H98" s="37"/>
      <c r="I98" s="37"/>
      <c r="J98" s="38" t="str">
        <f aca="false">IF(I98="","",ROUND(I98/1.2,2))</f>
        <v/>
      </c>
      <c r="K98" s="37"/>
      <c r="L98" s="38" t="str">
        <f aca="false">IF(OR(I98="",K98=""),"",I98-K98)</f>
        <v/>
      </c>
      <c r="M98" s="38" t="str">
        <f aca="false">IF(L98="","",L98-N98)</f>
        <v/>
      </c>
      <c r="N98" s="40" t="str">
        <f aca="false">IF(L98="","",ROUND(L98/6,2))</f>
        <v/>
      </c>
      <c r="O98" s="39" t="str">
        <f aca="false">IF(OR(K98="",K98=0),"",M98/K98)</f>
        <v/>
      </c>
      <c r="P98" s="37"/>
      <c r="Q98" s="37"/>
      <c r="R98" s="37"/>
      <c r="S98" s="37"/>
      <c r="T98" s="37"/>
      <c r="U98" s="37"/>
      <c r="V98" s="37"/>
      <c r="W98" s="37"/>
      <c r="X98" s="37"/>
    </row>
    <row r="99" customFormat="false" ht="21.75" hidden="false" customHeight="true" outlineLevel="0" collapsed="false">
      <c r="A99" s="42"/>
      <c r="B99" s="42"/>
      <c r="C99" s="42"/>
      <c r="D99" s="42"/>
      <c r="E99" s="42"/>
      <c r="F99" s="42"/>
      <c r="G99" s="42"/>
      <c r="H99" s="42"/>
      <c r="I99" s="42"/>
      <c r="J99" s="43" t="str">
        <f aca="false">IF(I99="","",ROUND(I99/1.2,2))</f>
        <v/>
      </c>
      <c r="K99" s="42"/>
      <c r="L99" s="43" t="str">
        <f aca="false">IF(OR(I99="",K99=""),"",I99-K99)</f>
        <v/>
      </c>
      <c r="M99" s="43" t="str">
        <f aca="false">IF(L99="","",L99-N99)</f>
        <v/>
      </c>
      <c r="N99" s="45" t="str">
        <f aca="false">IF(L99="","",ROUND(L99/6,2))</f>
        <v/>
      </c>
      <c r="O99" s="44" t="str">
        <f aca="false">IF(OR(K99="",K99=0),"",M99/K99)</f>
        <v/>
      </c>
      <c r="P99" s="42"/>
      <c r="Q99" s="42"/>
      <c r="R99" s="42"/>
      <c r="S99" s="42"/>
      <c r="T99" s="42"/>
      <c r="U99" s="42"/>
      <c r="V99" s="42"/>
      <c r="W99" s="42"/>
      <c r="X99" s="42"/>
    </row>
    <row r="100" customFormat="false" ht="21.75" hidden="false" customHeight="true" outlineLevel="0" collapsed="false">
      <c r="A100" s="37"/>
      <c r="B100" s="37"/>
      <c r="C100" s="37"/>
      <c r="D100" s="37"/>
      <c r="E100" s="37"/>
      <c r="F100" s="37"/>
      <c r="G100" s="37"/>
      <c r="H100" s="37"/>
      <c r="I100" s="37"/>
      <c r="J100" s="38" t="str">
        <f aca="false">IF(I100="","",ROUND(I100/1.2,2))</f>
        <v/>
      </c>
      <c r="K100" s="37"/>
      <c r="L100" s="38" t="str">
        <f aca="false">IF(OR(I100="",K100=""),"",I100-K100)</f>
        <v/>
      </c>
      <c r="M100" s="38" t="str">
        <f aca="false">IF(L100="","",L100-N100)</f>
        <v/>
      </c>
      <c r="N100" s="40" t="str">
        <f aca="false">IF(L100="","",ROUND(L100/6,2))</f>
        <v/>
      </c>
      <c r="O100" s="39" t="str">
        <f aca="false">IF(OR(K100="",K100=0),"",M100/K100)</f>
        <v/>
      </c>
      <c r="P100" s="37"/>
      <c r="Q100" s="37"/>
      <c r="R100" s="37"/>
      <c r="S100" s="37"/>
      <c r="T100" s="37"/>
      <c r="U100" s="37"/>
      <c r="V100" s="37"/>
      <c r="W100" s="37"/>
      <c r="X100" s="37"/>
    </row>
    <row r="101" customFormat="false" ht="21.75" hidden="false" customHeight="true" outlineLevel="0" collapsed="false">
      <c r="A101" s="42"/>
      <c r="B101" s="42"/>
      <c r="C101" s="42"/>
      <c r="D101" s="42"/>
      <c r="E101" s="42"/>
      <c r="F101" s="42"/>
      <c r="G101" s="42"/>
      <c r="H101" s="42"/>
      <c r="I101" s="42"/>
      <c r="J101" s="43" t="str">
        <f aca="false">IF(I101="","",ROUND(I101/1.2,2))</f>
        <v/>
      </c>
      <c r="K101" s="42"/>
      <c r="L101" s="43" t="str">
        <f aca="false">IF(OR(I101="",K101=""),"",I101-K101)</f>
        <v/>
      </c>
      <c r="M101" s="43" t="str">
        <f aca="false">IF(L101="","",L101-N101)</f>
        <v/>
      </c>
      <c r="N101" s="45" t="str">
        <f aca="false">IF(L101="","",ROUND(L101/6,2))</f>
        <v/>
      </c>
      <c r="O101" s="44" t="str">
        <f aca="false">IF(OR(K101="",K101=0),"",M101/K101)</f>
        <v/>
      </c>
      <c r="P101" s="42"/>
      <c r="Q101" s="42"/>
      <c r="R101" s="42"/>
      <c r="S101" s="42"/>
      <c r="T101" s="42"/>
      <c r="U101" s="42"/>
      <c r="V101" s="42"/>
      <c r="W101" s="42"/>
      <c r="X101" s="42"/>
    </row>
    <row r="102" customFormat="false" ht="21.75" hidden="false" customHeight="true" outlineLevel="0" collapsed="false">
      <c r="A102" s="37"/>
      <c r="B102" s="37"/>
      <c r="C102" s="37"/>
      <c r="D102" s="37"/>
      <c r="E102" s="37"/>
      <c r="F102" s="37"/>
      <c r="G102" s="37"/>
      <c r="H102" s="37"/>
      <c r="I102" s="37"/>
      <c r="J102" s="38" t="str">
        <f aca="false">IF(I102="","",ROUND(I102/1.2,2))</f>
        <v/>
      </c>
      <c r="K102" s="37"/>
      <c r="L102" s="38" t="str">
        <f aca="false">IF(OR(I102="",K102=""),"",I102-K102)</f>
        <v/>
      </c>
      <c r="M102" s="38" t="str">
        <f aca="false">IF(L102="","",L102-N102)</f>
        <v/>
      </c>
      <c r="N102" s="40" t="str">
        <f aca="false">IF(L102="","",ROUND(L102/6,2))</f>
        <v/>
      </c>
      <c r="O102" s="39" t="str">
        <f aca="false">IF(OR(K102="",K102=0),"",M102/K102)</f>
        <v/>
      </c>
      <c r="P102" s="37"/>
      <c r="Q102" s="37"/>
      <c r="R102" s="37"/>
      <c r="S102" s="37"/>
      <c r="T102" s="37"/>
      <c r="U102" s="37"/>
      <c r="V102" s="37"/>
      <c r="W102" s="37"/>
      <c r="X102" s="37"/>
    </row>
    <row r="103" customFormat="false" ht="21.75" hidden="false" customHeight="true" outlineLevel="0" collapsed="false">
      <c r="A103" s="42"/>
      <c r="B103" s="42"/>
      <c r="C103" s="42"/>
      <c r="D103" s="42"/>
      <c r="E103" s="42"/>
      <c r="F103" s="42"/>
      <c r="G103" s="42"/>
      <c r="H103" s="42"/>
      <c r="I103" s="42"/>
      <c r="J103" s="43" t="str">
        <f aca="false">IF(I103="","",ROUND(I103/1.2,2))</f>
        <v/>
      </c>
      <c r="K103" s="42"/>
      <c r="L103" s="43" t="str">
        <f aca="false">IF(OR(I103="",K103=""),"",I103-K103)</f>
        <v/>
      </c>
      <c r="M103" s="43" t="str">
        <f aca="false">IF(L103="","",L103-N103)</f>
        <v/>
      </c>
      <c r="N103" s="45" t="str">
        <f aca="false">IF(L103="","",ROUND(L103/6,2))</f>
        <v/>
      </c>
      <c r="O103" s="44" t="str">
        <f aca="false">IF(OR(K103="",K103=0),"",M103/K103)</f>
        <v/>
      </c>
      <c r="P103" s="42"/>
      <c r="Q103" s="42"/>
      <c r="R103" s="42"/>
      <c r="S103" s="42"/>
      <c r="T103" s="42"/>
      <c r="U103" s="42"/>
      <c r="V103" s="42"/>
      <c r="W103" s="42"/>
      <c r="X103" s="42"/>
    </row>
    <row r="104" customFormat="false" ht="21.75" hidden="false" customHeight="true" outlineLevel="0" collapsed="false">
      <c r="A104" s="37"/>
      <c r="B104" s="37"/>
      <c r="C104" s="37"/>
      <c r="D104" s="37"/>
      <c r="E104" s="37"/>
      <c r="F104" s="37"/>
      <c r="G104" s="37"/>
      <c r="H104" s="37"/>
      <c r="I104" s="37"/>
      <c r="J104" s="38" t="str">
        <f aca="false">IF(I104="","",ROUND(I104/1.2,2))</f>
        <v/>
      </c>
      <c r="K104" s="37"/>
      <c r="L104" s="38" t="str">
        <f aca="false">IF(OR(I104="",K104=""),"",I104-K104)</f>
        <v/>
      </c>
      <c r="M104" s="38" t="str">
        <f aca="false">IF(L104="","",L104-N104)</f>
        <v/>
      </c>
      <c r="N104" s="40" t="str">
        <f aca="false">IF(L104="","",ROUND(L104/6,2))</f>
        <v/>
      </c>
      <c r="O104" s="39" t="str">
        <f aca="false">IF(OR(K104="",K104=0),"",M104/K104)</f>
        <v/>
      </c>
      <c r="P104" s="37"/>
      <c r="Q104" s="37"/>
      <c r="R104" s="37"/>
      <c r="S104" s="37"/>
      <c r="T104" s="37"/>
      <c r="U104" s="37"/>
      <c r="V104" s="37"/>
      <c r="W104" s="37"/>
      <c r="X104" s="37"/>
    </row>
    <row r="105" customFormat="false" ht="21.75" hidden="false" customHeight="true" outlineLevel="0" collapsed="false">
      <c r="A105" s="42"/>
      <c r="B105" s="42"/>
      <c r="C105" s="42"/>
      <c r="D105" s="42"/>
      <c r="E105" s="42"/>
      <c r="F105" s="42"/>
      <c r="G105" s="42"/>
      <c r="H105" s="42"/>
      <c r="I105" s="42"/>
      <c r="J105" s="43" t="str">
        <f aca="false">IF(I105="","",ROUND(I105/1.2,2))</f>
        <v/>
      </c>
      <c r="K105" s="42"/>
      <c r="L105" s="43" t="str">
        <f aca="false">IF(OR(I105="",K105=""),"",I105-K105)</f>
        <v/>
      </c>
      <c r="M105" s="43" t="str">
        <f aca="false">IF(L105="","",L105-N105)</f>
        <v/>
      </c>
      <c r="N105" s="45" t="str">
        <f aca="false">IF(L105="","",ROUND(L105/6,2))</f>
        <v/>
      </c>
      <c r="O105" s="44" t="str">
        <f aca="false">IF(OR(K105="",K105=0),"",M105/K105)</f>
        <v/>
      </c>
      <c r="P105" s="42"/>
      <c r="Q105" s="42"/>
      <c r="R105" s="42"/>
      <c r="S105" s="42"/>
      <c r="T105" s="42"/>
      <c r="U105" s="42"/>
      <c r="V105" s="42"/>
      <c r="W105" s="42"/>
      <c r="X105" s="42"/>
    </row>
    <row r="106" customFormat="false" ht="21.75" hidden="false" customHeight="true" outlineLevel="0" collapsed="false">
      <c r="A106" s="37"/>
      <c r="B106" s="37"/>
      <c r="C106" s="37"/>
      <c r="D106" s="37"/>
      <c r="E106" s="37"/>
      <c r="F106" s="37"/>
      <c r="G106" s="37"/>
      <c r="H106" s="37"/>
      <c r="I106" s="37"/>
      <c r="J106" s="38" t="str">
        <f aca="false">IF(I106="","",ROUND(I106/1.2,2))</f>
        <v/>
      </c>
      <c r="K106" s="37"/>
      <c r="L106" s="38" t="str">
        <f aca="false">IF(OR(I106="",K106=""),"",I106-K106)</f>
        <v/>
      </c>
      <c r="M106" s="38" t="str">
        <f aca="false">IF(L106="","",L106-N106)</f>
        <v/>
      </c>
      <c r="N106" s="40" t="str">
        <f aca="false">IF(L106="","",ROUND(L106/6,2))</f>
        <v/>
      </c>
      <c r="O106" s="39" t="str">
        <f aca="false">IF(OR(K106="",K106=0),"",M106/K106)</f>
        <v/>
      </c>
      <c r="P106" s="37"/>
      <c r="Q106" s="37"/>
      <c r="R106" s="37"/>
      <c r="S106" s="37"/>
      <c r="T106" s="37"/>
      <c r="U106" s="37"/>
      <c r="V106" s="37"/>
      <c r="W106" s="37"/>
      <c r="X106" s="37"/>
    </row>
    <row r="107" customFormat="false" ht="21.75" hidden="false" customHeight="true" outlineLevel="0" collapsed="false">
      <c r="A107" s="42"/>
      <c r="B107" s="42"/>
      <c r="C107" s="42"/>
      <c r="D107" s="42"/>
      <c r="E107" s="42"/>
      <c r="F107" s="42"/>
      <c r="G107" s="42"/>
      <c r="H107" s="42"/>
      <c r="I107" s="42"/>
      <c r="J107" s="43" t="str">
        <f aca="false">IF(I107="","",ROUND(I107/1.2,2))</f>
        <v/>
      </c>
      <c r="K107" s="42"/>
      <c r="L107" s="43" t="str">
        <f aca="false">IF(OR(I107="",K107=""),"",I107-K107)</f>
        <v/>
      </c>
      <c r="M107" s="43" t="str">
        <f aca="false">IF(L107="","",L107-N107)</f>
        <v/>
      </c>
      <c r="N107" s="45" t="str">
        <f aca="false">IF(L107="","",ROUND(L107/6,2))</f>
        <v/>
      </c>
      <c r="O107" s="44" t="str">
        <f aca="false">IF(OR(K107="",K107=0),"",M107/K107)</f>
        <v/>
      </c>
      <c r="P107" s="42"/>
      <c r="Q107" s="42"/>
      <c r="R107" s="42"/>
      <c r="S107" s="42"/>
      <c r="T107" s="42"/>
      <c r="U107" s="42"/>
      <c r="V107" s="42"/>
      <c r="W107" s="42"/>
      <c r="X107" s="42"/>
    </row>
    <row r="108" customFormat="false" ht="21.75" hidden="false" customHeight="true" outlineLevel="0" collapsed="false">
      <c r="A108" s="37"/>
      <c r="B108" s="37"/>
      <c r="C108" s="37"/>
      <c r="D108" s="37"/>
      <c r="E108" s="37"/>
      <c r="F108" s="37"/>
      <c r="G108" s="37"/>
      <c r="H108" s="37"/>
      <c r="I108" s="37"/>
      <c r="J108" s="38" t="str">
        <f aca="false">IF(I108="","",ROUND(I108/1.2,2))</f>
        <v/>
      </c>
      <c r="K108" s="37"/>
      <c r="L108" s="38" t="str">
        <f aca="false">IF(OR(I108="",K108=""),"",I108-K108)</f>
        <v/>
      </c>
      <c r="M108" s="38" t="str">
        <f aca="false">IF(L108="","",L108-N108)</f>
        <v/>
      </c>
      <c r="N108" s="40" t="str">
        <f aca="false">IF(L108="","",ROUND(L108/6,2))</f>
        <v/>
      </c>
      <c r="O108" s="39" t="str">
        <f aca="false">IF(OR(K108="",K108=0),"",M108/K108)</f>
        <v/>
      </c>
      <c r="P108" s="37"/>
      <c r="Q108" s="37"/>
      <c r="R108" s="37"/>
      <c r="S108" s="37"/>
      <c r="T108" s="37"/>
      <c r="U108" s="37"/>
      <c r="V108" s="37"/>
      <c r="W108" s="37"/>
      <c r="X108" s="37"/>
    </row>
    <row r="109" customFormat="false" ht="21.75" hidden="false" customHeight="true" outlineLevel="0" collapsed="false">
      <c r="A109" s="42"/>
      <c r="B109" s="42"/>
      <c r="C109" s="42"/>
      <c r="D109" s="42"/>
      <c r="E109" s="42"/>
      <c r="F109" s="42"/>
      <c r="G109" s="42"/>
      <c r="H109" s="42"/>
      <c r="I109" s="42"/>
      <c r="J109" s="43" t="str">
        <f aca="false">IF(I109="","",ROUND(I109/1.2,2))</f>
        <v/>
      </c>
      <c r="K109" s="42"/>
      <c r="L109" s="43" t="str">
        <f aca="false">IF(OR(I109="",K109=""),"",I109-K109)</f>
        <v/>
      </c>
      <c r="M109" s="43" t="str">
        <f aca="false">IF(L109="","",L109-N109)</f>
        <v/>
      </c>
      <c r="N109" s="45" t="str">
        <f aca="false">IF(L109="","",ROUND(L109/6,2))</f>
        <v/>
      </c>
      <c r="O109" s="44" t="str">
        <f aca="false">IF(OR(K109="",K109=0),"",M109/K109)</f>
        <v/>
      </c>
      <c r="P109" s="42"/>
      <c r="Q109" s="42"/>
      <c r="R109" s="42"/>
      <c r="S109" s="42"/>
      <c r="T109" s="42"/>
      <c r="U109" s="42"/>
      <c r="V109" s="42"/>
      <c r="W109" s="42"/>
      <c r="X109" s="42"/>
    </row>
    <row r="110" customFormat="false" ht="21.75" hidden="false" customHeight="true" outlineLevel="0" collapsed="false">
      <c r="A110" s="37"/>
      <c r="B110" s="37"/>
      <c r="C110" s="37"/>
      <c r="D110" s="37"/>
      <c r="E110" s="37"/>
      <c r="F110" s="37"/>
      <c r="G110" s="37"/>
      <c r="H110" s="37"/>
      <c r="I110" s="37"/>
      <c r="J110" s="38" t="str">
        <f aca="false">IF(I110="","",ROUND(I110/1.2,2))</f>
        <v/>
      </c>
      <c r="K110" s="37"/>
      <c r="L110" s="38" t="str">
        <f aca="false">IF(OR(I110="",K110=""),"",I110-K110)</f>
        <v/>
      </c>
      <c r="M110" s="38" t="str">
        <f aca="false">IF(L110="","",L110-N110)</f>
        <v/>
      </c>
      <c r="N110" s="40" t="str">
        <f aca="false">IF(L110="","",ROUND(L110/6,2))</f>
        <v/>
      </c>
      <c r="O110" s="39" t="str">
        <f aca="false">IF(OR(K110="",K110=0),"",M110/K110)</f>
        <v/>
      </c>
      <c r="P110" s="37"/>
      <c r="Q110" s="37"/>
      <c r="R110" s="37"/>
      <c r="S110" s="37"/>
      <c r="T110" s="37"/>
      <c r="U110" s="37"/>
      <c r="V110" s="37"/>
      <c r="W110" s="37"/>
      <c r="X110" s="37"/>
    </row>
    <row r="111" customFormat="false" ht="21.75" hidden="false" customHeight="true" outlineLevel="0" collapsed="false">
      <c r="A111" s="42"/>
      <c r="B111" s="42"/>
      <c r="C111" s="42"/>
      <c r="D111" s="42"/>
      <c r="E111" s="42"/>
      <c r="F111" s="42"/>
      <c r="G111" s="42"/>
      <c r="H111" s="42"/>
      <c r="I111" s="42"/>
      <c r="J111" s="43" t="str">
        <f aca="false">IF(I111="","",ROUND(I111/1.2,2))</f>
        <v/>
      </c>
      <c r="K111" s="42"/>
      <c r="L111" s="43" t="str">
        <f aca="false">IF(OR(I111="",K111=""),"",I111-K111)</f>
        <v/>
      </c>
      <c r="M111" s="43" t="str">
        <f aca="false">IF(L111="","",L111-N111)</f>
        <v/>
      </c>
      <c r="N111" s="45" t="str">
        <f aca="false">IF(L111="","",ROUND(L111/6,2))</f>
        <v/>
      </c>
      <c r="O111" s="44" t="str">
        <f aca="false">IF(OR(K111="",K111=0),"",M111/K111)</f>
        <v/>
      </c>
      <c r="P111" s="42"/>
      <c r="Q111" s="42"/>
      <c r="R111" s="42"/>
      <c r="S111" s="42"/>
      <c r="T111" s="42"/>
      <c r="U111" s="42"/>
      <c r="V111" s="42"/>
      <c r="W111" s="42"/>
      <c r="X111" s="42"/>
    </row>
    <row r="112" customFormat="false" ht="21.75" hidden="false" customHeight="true" outlineLevel="0" collapsed="false">
      <c r="A112" s="37"/>
      <c r="B112" s="37"/>
      <c r="C112" s="37"/>
      <c r="D112" s="37"/>
      <c r="E112" s="37"/>
      <c r="F112" s="37"/>
      <c r="G112" s="37"/>
      <c r="H112" s="37"/>
      <c r="I112" s="37"/>
      <c r="J112" s="38" t="str">
        <f aca="false">IF(I112="","",ROUND(I112/1.2,2))</f>
        <v/>
      </c>
      <c r="K112" s="37"/>
      <c r="L112" s="38" t="str">
        <f aca="false">IF(OR(I112="",K112=""),"",I112-K112)</f>
        <v/>
      </c>
      <c r="M112" s="38" t="str">
        <f aca="false">IF(L112="","",L112-N112)</f>
        <v/>
      </c>
      <c r="N112" s="40" t="str">
        <f aca="false">IF(L112="","",ROUND(L112/6,2))</f>
        <v/>
      </c>
      <c r="O112" s="39" t="str">
        <f aca="false">IF(OR(K112="",K112=0),"",M112/K112)</f>
        <v/>
      </c>
      <c r="P112" s="37"/>
      <c r="Q112" s="37"/>
      <c r="R112" s="37"/>
      <c r="S112" s="37"/>
      <c r="T112" s="37"/>
      <c r="U112" s="37"/>
      <c r="V112" s="37"/>
      <c r="W112" s="37"/>
      <c r="X112" s="37"/>
    </row>
    <row r="113" customFormat="false" ht="21.75" hidden="false" customHeight="true" outlineLevel="0" collapsed="false">
      <c r="A113" s="42"/>
      <c r="B113" s="42"/>
      <c r="C113" s="42"/>
      <c r="D113" s="42"/>
      <c r="E113" s="42"/>
      <c r="F113" s="42"/>
      <c r="G113" s="42"/>
      <c r="H113" s="42"/>
      <c r="I113" s="42"/>
      <c r="J113" s="43" t="str">
        <f aca="false">IF(I113="","",ROUND(I113/1.2,2))</f>
        <v/>
      </c>
      <c r="K113" s="42"/>
      <c r="L113" s="43" t="str">
        <f aca="false">IF(OR(I113="",K113=""),"",I113-K113)</f>
        <v/>
      </c>
      <c r="M113" s="43" t="str">
        <f aca="false">IF(L113="","",L113-N113)</f>
        <v/>
      </c>
      <c r="N113" s="45" t="str">
        <f aca="false">IF(L113="","",ROUND(L113/6,2))</f>
        <v/>
      </c>
      <c r="O113" s="44" t="str">
        <f aca="false">IF(OR(K113="",K113=0),"",M113/K113)</f>
        <v/>
      </c>
      <c r="P113" s="42"/>
      <c r="Q113" s="42"/>
      <c r="R113" s="42"/>
      <c r="S113" s="42"/>
      <c r="T113" s="42"/>
      <c r="U113" s="42"/>
      <c r="V113" s="42"/>
      <c r="W113" s="42"/>
      <c r="X113" s="42"/>
    </row>
    <row r="114" customFormat="false" ht="21.75" hidden="false" customHeight="true" outlineLevel="0" collapsed="false">
      <c r="A114" s="37"/>
      <c r="B114" s="37"/>
      <c r="C114" s="37"/>
      <c r="D114" s="37"/>
      <c r="E114" s="37"/>
      <c r="F114" s="37"/>
      <c r="G114" s="37"/>
      <c r="H114" s="37"/>
      <c r="I114" s="37"/>
      <c r="J114" s="38" t="str">
        <f aca="false">IF(I114="","",ROUND(I114/1.2,2))</f>
        <v/>
      </c>
      <c r="K114" s="37"/>
      <c r="L114" s="38" t="str">
        <f aca="false">IF(OR(I114="",K114=""),"",I114-K114)</f>
        <v/>
      </c>
      <c r="M114" s="38" t="str">
        <f aca="false">IF(L114="","",L114-N114)</f>
        <v/>
      </c>
      <c r="N114" s="40" t="str">
        <f aca="false">IF(L114="","",ROUND(L114/6,2))</f>
        <v/>
      </c>
      <c r="O114" s="39" t="str">
        <f aca="false">IF(OR(K114="",K114=0),"",M114/K114)</f>
        <v/>
      </c>
      <c r="P114" s="37"/>
      <c r="Q114" s="37"/>
      <c r="R114" s="37"/>
      <c r="S114" s="37"/>
      <c r="T114" s="37"/>
      <c r="U114" s="37"/>
      <c r="V114" s="37"/>
      <c r="W114" s="37"/>
      <c r="X114" s="37"/>
    </row>
    <row r="115" customFormat="false" ht="21.75" hidden="false" customHeight="true" outlineLevel="0" collapsed="false">
      <c r="A115" s="42"/>
      <c r="B115" s="42"/>
      <c r="C115" s="42"/>
      <c r="D115" s="42"/>
      <c r="E115" s="42"/>
      <c r="F115" s="42"/>
      <c r="G115" s="42"/>
      <c r="H115" s="42"/>
      <c r="I115" s="42"/>
      <c r="J115" s="43" t="str">
        <f aca="false">IF(I115="","",ROUND(I115/1.2,2))</f>
        <v/>
      </c>
      <c r="K115" s="42"/>
      <c r="L115" s="43" t="str">
        <f aca="false">IF(OR(I115="",K115=""),"",I115-K115)</f>
        <v/>
      </c>
      <c r="M115" s="43" t="str">
        <f aca="false">IF(L115="","",L115-N115)</f>
        <v/>
      </c>
      <c r="N115" s="45" t="str">
        <f aca="false">IF(L115="","",ROUND(L115/6,2))</f>
        <v/>
      </c>
      <c r="O115" s="44" t="str">
        <f aca="false">IF(OR(K115="",K115=0),"",M115/K115)</f>
        <v/>
      </c>
      <c r="P115" s="42"/>
      <c r="Q115" s="42"/>
      <c r="R115" s="42"/>
      <c r="S115" s="42"/>
      <c r="T115" s="42"/>
      <c r="U115" s="42"/>
      <c r="V115" s="42"/>
      <c r="W115" s="42"/>
      <c r="X115" s="42"/>
    </row>
    <row r="116" customFormat="false" ht="21.75" hidden="false" customHeight="true" outlineLevel="0" collapsed="false">
      <c r="A116" s="37"/>
      <c r="B116" s="37"/>
      <c r="C116" s="37"/>
      <c r="D116" s="37"/>
      <c r="E116" s="37"/>
      <c r="F116" s="37"/>
      <c r="G116" s="37"/>
      <c r="H116" s="37"/>
      <c r="I116" s="37"/>
      <c r="J116" s="38" t="str">
        <f aca="false">IF(I116="","",ROUND(I116/1.2,2))</f>
        <v/>
      </c>
      <c r="K116" s="37"/>
      <c r="L116" s="38" t="str">
        <f aca="false">IF(OR(I116="",K116=""),"",I116-K116)</f>
        <v/>
      </c>
      <c r="M116" s="38" t="str">
        <f aca="false">IF(L116="","",L116-N116)</f>
        <v/>
      </c>
      <c r="N116" s="40" t="str">
        <f aca="false">IF(L116="","",ROUND(L116/6,2))</f>
        <v/>
      </c>
      <c r="O116" s="39" t="str">
        <f aca="false">IF(OR(K116="",K116=0),"",M116/K116)</f>
        <v/>
      </c>
      <c r="P116" s="37"/>
      <c r="Q116" s="37"/>
      <c r="R116" s="37"/>
      <c r="S116" s="37"/>
      <c r="T116" s="37"/>
      <c r="U116" s="37"/>
      <c r="V116" s="37"/>
      <c r="W116" s="37"/>
      <c r="X116" s="37"/>
    </row>
    <row r="117" customFormat="false" ht="21.75" hidden="false" customHeight="true" outlineLevel="0" collapsed="false">
      <c r="A117" s="42"/>
      <c r="B117" s="42"/>
      <c r="C117" s="42"/>
      <c r="D117" s="42"/>
      <c r="E117" s="42"/>
      <c r="F117" s="42"/>
      <c r="G117" s="42"/>
      <c r="H117" s="42"/>
      <c r="I117" s="42"/>
      <c r="J117" s="43" t="str">
        <f aca="false">IF(I117="","",ROUND(I117/1.2,2))</f>
        <v/>
      </c>
      <c r="K117" s="42"/>
      <c r="L117" s="43" t="str">
        <f aca="false">IF(OR(I117="",K117=""),"",I117-K117)</f>
        <v/>
      </c>
      <c r="M117" s="43" t="str">
        <f aca="false">IF(L117="","",L117-N117)</f>
        <v/>
      </c>
      <c r="N117" s="45" t="str">
        <f aca="false">IF(L117="","",ROUND(L117/6,2))</f>
        <v/>
      </c>
      <c r="O117" s="44" t="str">
        <f aca="false">IF(OR(K117="",K117=0),"",M117/K117)</f>
        <v/>
      </c>
      <c r="P117" s="42"/>
      <c r="Q117" s="42"/>
      <c r="R117" s="42"/>
      <c r="S117" s="42"/>
      <c r="T117" s="42"/>
      <c r="U117" s="42"/>
      <c r="V117" s="42"/>
      <c r="W117" s="42"/>
      <c r="X117" s="42"/>
    </row>
    <row r="118" customFormat="false" ht="21.75" hidden="false" customHeight="true" outlineLevel="0" collapsed="false">
      <c r="A118" s="37"/>
      <c r="B118" s="37"/>
      <c r="C118" s="37"/>
      <c r="D118" s="37"/>
      <c r="E118" s="37"/>
      <c r="F118" s="37"/>
      <c r="G118" s="37"/>
      <c r="H118" s="37"/>
      <c r="I118" s="37"/>
      <c r="J118" s="38" t="str">
        <f aca="false">IF(I118="","",ROUND(I118/1.2,2))</f>
        <v/>
      </c>
      <c r="K118" s="37"/>
      <c r="L118" s="38" t="str">
        <f aca="false">IF(OR(I118="",K118=""),"",I118-K118)</f>
        <v/>
      </c>
      <c r="M118" s="38" t="str">
        <f aca="false">IF(L118="","",L118-N118)</f>
        <v/>
      </c>
      <c r="N118" s="40" t="str">
        <f aca="false">IF(L118="","",ROUND(L118/6,2))</f>
        <v/>
      </c>
      <c r="O118" s="39" t="str">
        <f aca="false">IF(OR(K118="",K118=0),"",M118/K118)</f>
        <v/>
      </c>
      <c r="P118" s="37"/>
      <c r="Q118" s="37"/>
      <c r="R118" s="37"/>
      <c r="S118" s="37"/>
      <c r="T118" s="37"/>
      <c r="U118" s="37"/>
      <c r="V118" s="37"/>
      <c r="W118" s="37"/>
      <c r="X118" s="37"/>
    </row>
    <row r="119" customFormat="false" ht="21.75" hidden="false" customHeight="true" outlineLevel="0" collapsed="false">
      <c r="A119" s="42"/>
      <c r="B119" s="42"/>
      <c r="C119" s="42"/>
      <c r="D119" s="42"/>
      <c r="E119" s="42"/>
      <c r="F119" s="42"/>
      <c r="G119" s="42"/>
      <c r="H119" s="42"/>
      <c r="I119" s="42"/>
      <c r="J119" s="43" t="str">
        <f aca="false">IF(I119="","",ROUND(I119/1.2,2))</f>
        <v/>
      </c>
      <c r="K119" s="42"/>
      <c r="L119" s="43" t="str">
        <f aca="false">IF(OR(I119="",K119=""),"",I119-K119)</f>
        <v/>
      </c>
      <c r="M119" s="43" t="str">
        <f aca="false">IF(L119="","",L119-N119)</f>
        <v/>
      </c>
      <c r="N119" s="45" t="str">
        <f aca="false">IF(L119="","",ROUND(L119/6,2))</f>
        <v/>
      </c>
      <c r="O119" s="44" t="str">
        <f aca="false">IF(OR(K119="",K119=0),"",M119/K119)</f>
        <v/>
      </c>
      <c r="P119" s="42"/>
      <c r="Q119" s="42"/>
      <c r="R119" s="42"/>
      <c r="S119" s="42"/>
      <c r="T119" s="42"/>
      <c r="U119" s="42"/>
      <c r="V119" s="42"/>
      <c r="W119" s="42"/>
      <c r="X119" s="42"/>
    </row>
    <row r="120" customFormat="false" ht="21.75" hidden="false" customHeight="true" outlineLevel="0" collapsed="false">
      <c r="A120" s="37"/>
      <c r="B120" s="37"/>
      <c r="C120" s="37"/>
      <c r="D120" s="37"/>
      <c r="E120" s="37"/>
      <c r="F120" s="37"/>
      <c r="G120" s="37"/>
      <c r="H120" s="37"/>
      <c r="I120" s="37"/>
      <c r="J120" s="38" t="str">
        <f aca="false">IF(I120="","",ROUND(I120/1.2,2))</f>
        <v/>
      </c>
      <c r="K120" s="37"/>
      <c r="L120" s="38" t="str">
        <f aca="false">IF(OR(I120="",K120=""),"",I120-K120)</f>
        <v/>
      </c>
      <c r="M120" s="38" t="str">
        <f aca="false">IF(L120="","",L120-N120)</f>
        <v/>
      </c>
      <c r="N120" s="40" t="str">
        <f aca="false">IF(L120="","",ROUND(L120/6,2))</f>
        <v/>
      </c>
      <c r="O120" s="39" t="str">
        <f aca="false">IF(OR(K120="",K120=0),"",M120/K120)</f>
        <v/>
      </c>
      <c r="P120" s="37"/>
      <c r="Q120" s="37"/>
      <c r="R120" s="37"/>
      <c r="S120" s="37"/>
      <c r="T120" s="37"/>
      <c r="U120" s="37"/>
      <c r="V120" s="37"/>
      <c r="W120" s="37"/>
      <c r="X120" s="37"/>
    </row>
    <row r="121" customFormat="false" ht="21.75" hidden="false" customHeight="true" outlineLevel="0" collapsed="false">
      <c r="A121" s="42"/>
      <c r="B121" s="42"/>
      <c r="C121" s="42"/>
      <c r="D121" s="42"/>
      <c r="E121" s="42"/>
      <c r="F121" s="42"/>
      <c r="G121" s="42"/>
      <c r="H121" s="42"/>
      <c r="I121" s="42"/>
      <c r="J121" s="43" t="str">
        <f aca="false">IF(I121="","",ROUND(I121/1.2,2))</f>
        <v/>
      </c>
      <c r="K121" s="42"/>
      <c r="L121" s="43" t="str">
        <f aca="false">IF(OR(I121="",K121=""),"",I121-K121)</f>
        <v/>
      </c>
      <c r="M121" s="43" t="str">
        <f aca="false">IF(L121="","",L121-N121)</f>
        <v/>
      </c>
      <c r="N121" s="45" t="str">
        <f aca="false">IF(L121="","",ROUND(L121/6,2))</f>
        <v/>
      </c>
      <c r="O121" s="44" t="str">
        <f aca="false">IF(OR(K121="",K121=0),"",M121/K121)</f>
        <v/>
      </c>
      <c r="P121" s="42"/>
      <c r="Q121" s="42"/>
      <c r="R121" s="42"/>
      <c r="S121" s="42"/>
      <c r="T121" s="42"/>
      <c r="U121" s="42"/>
      <c r="V121" s="42"/>
      <c r="W121" s="42"/>
      <c r="X121" s="42"/>
    </row>
    <row r="122" customFormat="false" ht="21.75" hidden="false" customHeight="true" outlineLevel="0" collapsed="false">
      <c r="A122" s="37"/>
      <c r="B122" s="37"/>
      <c r="C122" s="37"/>
      <c r="D122" s="37"/>
      <c r="E122" s="37"/>
      <c r="F122" s="37"/>
      <c r="G122" s="37"/>
      <c r="H122" s="37"/>
      <c r="I122" s="37"/>
      <c r="J122" s="38" t="str">
        <f aca="false">IF(I122="","",ROUND(I122/1.2,2))</f>
        <v/>
      </c>
      <c r="K122" s="37"/>
      <c r="L122" s="38" t="str">
        <f aca="false">IF(OR(I122="",K122=""),"",I122-K122)</f>
        <v/>
      </c>
      <c r="M122" s="38" t="str">
        <f aca="false">IF(L122="","",L122-N122)</f>
        <v/>
      </c>
      <c r="N122" s="40" t="str">
        <f aca="false">IF(L122="","",ROUND(L122/6,2))</f>
        <v/>
      </c>
      <c r="O122" s="39" t="str">
        <f aca="false">IF(OR(K122="",K122=0),"",M122/K122)</f>
        <v/>
      </c>
      <c r="P122" s="37"/>
      <c r="Q122" s="37"/>
      <c r="R122" s="37"/>
      <c r="S122" s="37"/>
      <c r="T122" s="37"/>
      <c r="U122" s="37"/>
      <c r="V122" s="37"/>
      <c r="W122" s="37"/>
      <c r="X122" s="37"/>
    </row>
    <row r="123" customFormat="false" ht="21.75" hidden="false" customHeight="true" outlineLevel="0" collapsed="false">
      <c r="A123" s="42"/>
      <c r="B123" s="42"/>
      <c r="C123" s="42"/>
      <c r="D123" s="42"/>
      <c r="E123" s="42"/>
      <c r="F123" s="42"/>
      <c r="G123" s="42"/>
      <c r="H123" s="42"/>
      <c r="I123" s="42"/>
      <c r="J123" s="43" t="str">
        <f aca="false">IF(I123="","",ROUND(I123/1.2,2))</f>
        <v/>
      </c>
      <c r="K123" s="42"/>
      <c r="L123" s="43" t="str">
        <f aca="false">IF(OR(I123="",K123=""),"",I123-K123)</f>
        <v/>
      </c>
      <c r="M123" s="43" t="str">
        <f aca="false">IF(L123="","",L123-N123)</f>
        <v/>
      </c>
      <c r="N123" s="45" t="str">
        <f aca="false">IF(L123="","",ROUND(L123/6,2))</f>
        <v/>
      </c>
      <c r="O123" s="44" t="str">
        <f aca="false">IF(OR(K123="",K123=0),"",M123/K123)</f>
        <v/>
      </c>
      <c r="P123" s="42"/>
      <c r="Q123" s="42"/>
      <c r="R123" s="42"/>
      <c r="S123" s="42"/>
      <c r="T123" s="42"/>
      <c r="U123" s="42"/>
      <c r="V123" s="42"/>
      <c r="W123" s="42"/>
      <c r="X123" s="42"/>
    </row>
    <row r="124" customFormat="false" ht="21.75" hidden="false" customHeight="true" outlineLevel="0" collapsed="false">
      <c r="A124" s="37"/>
      <c r="B124" s="37"/>
      <c r="C124" s="37"/>
      <c r="D124" s="37"/>
      <c r="E124" s="37"/>
      <c r="F124" s="37"/>
      <c r="G124" s="37"/>
      <c r="H124" s="37"/>
      <c r="I124" s="37"/>
      <c r="J124" s="38" t="str">
        <f aca="false">IF(I124="","",ROUND(I124/1.2,2))</f>
        <v/>
      </c>
      <c r="K124" s="37"/>
      <c r="L124" s="38" t="str">
        <f aca="false">IF(OR(I124="",K124=""),"",I124-K124)</f>
        <v/>
      </c>
      <c r="M124" s="38" t="str">
        <f aca="false">IF(L124="","",L124-N124)</f>
        <v/>
      </c>
      <c r="N124" s="40" t="str">
        <f aca="false">IF(L124="","",ROUND(L124/6,2))</f>
        <v/>
      </c>
      <c r="O124" s="39" t="str">
        <f aca="false">IF(OR(K124="",K124=0),"",M124/K124)</f>
        <v/>
      </c>
      <c r="P124" s="37"/>
      <c r="Q124" s="37"/>
      <c r="R124" s="37"/>
      <c r="S124" s="37"/>
      <c r="T124" s="37"/>
      <c r="U124" s="37"/>
      <c r="V124" s="37"/>
      <c r="W124" s="37"/>
      <c r="X124" s="37"/>
    </row>
    <row r="125" customFormat="false" ht="21.75" hidden="false" customHeight="true" outlineLevel="0" collapsed="false">
      <c r="A125" s="42"/>
      <c r="B125" s="42"/>
      <c r="C125" s="42"/>
      <c r="D125" s="42"/>
      <c r="E125" s="42"/>
      <c r="F125" s="42"/>
      <c r="G125" s="42"/>
      <c r="H125" s="42"/>
      <c r="I125" s="42"/>
      <c r="J125" s="43" t="str">
        <f aca="false">IF(I125="","",ROUND(I125/1.2,2))</f>
        <v/>
      </c>
      <c r="K125" s="42"/>
      <c r="L125" s="43" t="str">
        <f aca="false">IF(OR(I125="",K125=""),"",I125-K125)</f>
        <v/>
      </c>
      <c r="M125" s="43" t="str">
        <f aca="false">IF(L125="","",L125-N125)</f>
        <v/>
      </c>
      <c r="N125" s="45" t="str">
        <f aca="false">IF(L125="","",ROUND(L125/6,2))</f>
        <v/>
      </c>
      <c r="O125" s="44" t="str">
        <f aca="false">IF(OR(K125="",K125=0),"",M125/K125)</f>
        <v/>
      </c>
      <c r="P125" s="42"/>
      <c r="Q125" s="42"/>
      <c r="R125" s="42"/>
      <c r="S125" s="42"/>
      <c r="T125" s="42"/>
      <c r="U125" s="42"/>
      <c r="V125" s="42"/>
      <c r="W125" s="42"/>
      <c r="X125" s="42"/>
    </row>
    <row r="126" customFormat="false" ht="21.75" hidden="false" customHeight="true" outlineLevel="0" collapsed="false">
      <c r="A126" s="37"/>
      <c r="B126" s="37"/>
      <c r="C126" s="37"/>
      <c r="D126" s="37"/>
      <c r="E126" s="37"/>
      <c r="F126" s="37"/>
      <c r="G126" s="37"/>
      <c r="H126" s="37"/>
      <c r="I126" s="37"/>
      <c r="J126" s="38" t="str">
        <f aca="false">IF(I126="","",ROUND(I126/1.2,2))</f>
        <v/>
      </c>
      <c r="K126" s="37"/>
      <c r="L126" s="38" t="str">
        <f aca="false">IF(OR(I126="",K126=""),"",I126-K126)</f>
        <v/>
      </c>
      <c r="M126" s="38" t="str">
        <f aca="false">IF(L126="","",L126-N126)</f>
        <v/>
      </c>
      <c r="N126" s="40" t="str">
        <f aca="false">IF(L126="","",ROUND(L126/6,2))</f>
        <v/>
      </c>
      <c r="O126" s="39" t="str">
        <f aca="false">IF(OR(K126="",K126=0),"",M126/K126)</f>
        <v/>
      </c>
      <c r="P126" s="37"/>
      <c r="Q126" s="37"/>
      <c r="R126" s="37"/>
      <c r="S126" s="37"/>
      <c r="T126" s="37"/>
      <c r="U126" s="37"/>
      <c r="V126" s="37"/>
      <c r="W126" s="37"/>
      <c r="X126" s="37"/>
    </row>
    <row r="127" customFormat="false" ht="21.75" hidden="false" customHeight="true" outlineLevel="0" collapsed="false">
      <c r="A127" s="42"/>
      <c r="B127" s="42"/>
      <c r="C127" s="42"/>
      <c r="D127" s="42"/>
      <c r="E127" s="42"/>
      <c r="F127" s="42"/>
      <c r="G127" s="42"/>
      <c r="H127" s="42"/>
      <c r="I127" s="42"/>
      <c r="J127" s="43" t="str">
        <f aca="false">IF(I127="","",ROUND(I127/1.2,2))</f>
        <v/>
      </c>
      <c r="K127" s="42"/>
      <c r="L127" s="43" t="str">
        <f aca="false">IF(OR(I127="",K127=""),"",I127-K127)</f>
        <v/>
      </c>
      <c r="M127" s="43" t="str">
        <f aca="false">IF(L127="","",L127-N127)</f>
        <v/>
      </c>
      <c r="N127" s="45" t="str">
        <f aca="false">IF(L127="","",ROUND(L127/6,2))</f>
        <v/>
      </c>
      <c r="O127" s="44" t="str">
        <f aca="false">IF(OR(K127="",K127=0),"",M127/K127)</f>
        <v/>
      </c>
      <c r="P127" s="42"/>
      <c r="Q127" s="42"/>
      <c r="R127" s="42"/>
      <c r="S127" s="42"/>
      <c r="T127" s="42"/>
      <c r="U127" s="42"/>
      <c r="V127" s="42"/>
      <c r="W127" s="42"/>
      <c r="X127" s="42"/>
    </row>
    <row r="128" customFormat="false" ht="21.75" hidden="false" customHeight="true" outlineLevel="0" collapsed="false">
      <c r="A128" s="37"/>
      <c r="B128" s="37"/>
      <c r="C128" s="37"/>
      <c r="D128" s="37"/>
      <c r="E128" s="37"/>
      <c r="F128" s="37"/>
      <c r="G128" s="37"/>
      <c r="H128" s="37"/>
      <c r="I128" s="37"/>
      <c r="J128" s="38" t="str">
        <f aca="false">IF(I128="","",ROUND(I128/1.2,2))</f>
        <v/>
      </c>
      <c r="K128" s="37"/>
      <c r="L128" s="38" t="str">
        <f aca="false">IF(OR(I128="",K128=""),"",I128-K128)</f>
        <v/>
      </c>
      <c r="M128" s="38" t="str">
        <f aca="false">IF(L128="","",L128-N128)</f>
        <v/>
      </c>
      <c r="N128" s="40" t="str">
        <f aca="false">IF(L128="","",ROUND(L128/6,2))</f>
        <v/>
      </c>
      <c r="O128" s="39" t="str">
        <f aca="false">IF(OR(K128="",K128=0),"",M128/K128)</f>
        <v/>
      </c>
      <c r="P128" s="37"/>
      <c r="Q128" s="37"/>
      <c r="R128" s="37"/>
      <c r="S128" s="37"/>
      <c r="T128" s="37"/>
      <c r="U128" s="37"/>
      <c r="V128" s="37"/>
      <c r="W128" s="37"/>
      <c r="X128" s="37"/>
    </row>
    <row r="129" customFormat="false" ht="21.75" hidden="false" customHeight="true" outlineLevel="0" collapsed="false">
      <c r="A129" s="42"/>
      <c r="B129" s="42"/>
      <c r="C129" s="42"/>
      <c r="D129" s="42"/>
      <c r="E129" s="42"/>
      <c r="F129" s="42"/>
      <c r="G129" s="42"/>
      <c r="H129" s="42"/>
      <c r="I129" s="42"/>
      <c r="J129" s="43" t="str">
        <f aca="false">IF(I129="","",ROUND(I129/1.2,2))</f>
        <v/>
      </c>
      <c r="K129" s="42"/>
      <c r="L129" s="43" t="str">
        <f aca="false">IF(OR(I129="",K129=""),"",I129-K129)</f>
        <v/>
      </c>
      <c r="M129" s="43" t="str">
        <f aca="false">IF(L129="","",L129-N129)</f>
        <v/>
      </c>
      <c r="N129" s="45" t="str">
        <f aca="false">IF(L129="","",ROUND(L129/6,2))</f>
        <v/>
      </c>
      <c r="O129" s="44" t="str">
        <f aca="false">IF(OR(K129="",K129=0),"",M129/K129)</f>
        <v/>
      </c>
      <c r="P129" s="42"/>
      <c r="Q129" s="42"/>
      <c r="R129" s="42"/>
      <c r="S129" s="42"/>
      <c r="T129" s="42"/>
      <c r="U129" s="42"/>
      <c r="V129" s="42"/>
      <c r="W129" s="42"/>
      <c r="X129" s="42"/>
    </row>
    <row r="130" customFormat="false" ht="21.75" hidden="false" customHeight="true" outlineLevel="0" collapsed="false">
      <c r="A130" s="37"/>
      <c r="B130" s="37"/>
      <c r="C130" s="37"/>
      <c r="D130" s="37"/>
      <c r="E130" s="37"/>
      <c r="F130" s="37"/>
      <c r="G130" s="37"/>
      <c r="H130" s="37"/>
      <c r="I130" s="37"/>
      <c r="J130" s="38" t="str">
        <f aca="false">IF(I130="","",ROUND(I130/1.2,2))</f>
        <v/>
      </c>
      <c r="K130" s="37"/>
      <c r="L130" s="38" t="str">
        <f aca="false">IF(OR(I130="",K130=""),"",I130-K130)</f>
        <v/>
      </c>
      <c r="M130" s="38" t="str">
        <f aca="false">IF(L130="","",L130-N130)</f>
        <v/>
      </c>
      <c r="N130" s="40" t="str">
        <f aca="false">IF(L130="","",ROUND(L130/6,2))</f>
        <v/>
      </c>
      <c r="O130" s="39" t="str">
        <f aca="false">IF(OR(K130="",K130=0),"",M130/K130)</f>
        <v/>
      </c>
      <c r="P130" s="37"/>
      <c r="Q130" s="37"/>
      <c r="R130" s="37"/>
      <c r="S130" s="37"/>
      <c r="T130" s="37"/>
      <c r="U130" s="37"/>
      <c r="V130" s="37"/>
      <c r="W130" s="37"/>
      <c r="X130" s="37"/>
    </row>
    <row r="131" customFormat="false" ht="21.75" hidden="false" customHeight="true" outlineLevel="0" collapsed="false">
      <c r="A131" s="42"/>
      <c r="B131" s="42"/>
      <c r="C131" s="42"/>
      <c r="D131" s="42"/>
      <c r="E131" s="42"/>
      <c r="F131" s="42"/>
      <c r="G131" s="42"/>
      <c r="H131" s="42"/>
      <c r="I131" s="42"/>
      <c r="J131" s="43" t="str">
        <f aca="false">IF(I131="","",ROUND(I131/1.2,2))</f>
        <v/>
      </c>
      <c r="K131" s="42"/>
      <c r="L131" s="43" t="str">
        <f aca="false">IF(OR(I131="",K131=""),"",I131-K131)</f>
        <v/>
      </c>
      <c r="M131" s="43" t="str">
        <f aca="false">IF(L131="","",L131-N131)</f>
        <v/>
      </c>
      <c r="N131" s="45" t="str">
        <f aca="false">IF(L131="","",ROUND(L131/6,2))</f>
        <v/>
      </c>
      <c r="O131" s="44" t="str">
        <f aca="false">IF(OR(K131="",K131=0),"",M131/K131)</f>
        <v/>
      </c>
      <c r="P131" s="42"/>
      <c r="Q131" s="42"/>
      <c r="R131" s="42"/>
      <c r="S131" s="42"/>
      <c r="T131" s="42"/>
      <c r="U131" s="42"/>
      <c r="V131" s="42"/>
      <c r="W131" s="42"/>
      <c r="X131" s="42"/>
    </row>
    <row r="132" customFormat="false" ht="21.75" hidden="false" customHeight="true" outlineLevel="0" collapsed="false">
      <c r="A132" s="37"/>
      <c r="B132" s="37"/>
      <c r="C132" s="37"/>
      <c r="D132" s="37"/>
      <c r="E132" s="37"/>
      <c r="F132" s="37"/>
      <c r="G132" s="37"/>
      <c r="H132" s="37"/>
      <c r="I132" s="37"/>
      <c r="J132" s="38" t="str">
        <f aca="false">IF(I132="","",ROUND(I132/1.2,2))</f>
        <v/>
      </c>
      <c r="K132" s="37"/>
      <c r="L132" s="38" t="str">
        <f aca="false">IF(OR(I132="",K132=""),"",I132-K132)</f>
        <v/>
      </c>
      <c r="M132" s="38" t="str">
        <f aca="false">IF(L132="","",L132-N132)</f>
        <v/>
      </c>
      <c r="N132" s="40" t="str">
        <f aca="false">IF(L132="","",ROUND(L132/6,2))</f>
        <v/>
      </c>
      <c r="O132" s="39" t="str">
        <f aca="false">IF(OR(K132="",K132=0),"",M132/K132)</f>
        <v/>
      </c>
      <c r="P132" s="37"/>
      <c r="Q132" s="37"/>
      <c r="R132" s="37"/>
      <c r="S132" s="37"/>
      <c r="T132" s="37"/>
      <c r="U132" s="37"/>
      <c r="V132" s="37"/>
      <c r="W132" s="37"/>
      <c r="X132" s="37"/>
    </row>
    <row r="133" customFormat="false" ht="21.75" hidden="false" customHeight="true" outlineLevel="0" collapsed="false">
      <c r="A133" s="42"/>
      <c r="B133" s="42"/>
      <c r="C133" s="42"/>
      <c r="D133" s="42"/>
      <c r="E133" s="42"/>
      <c r="F133" s="42"/>
      <c r="G133" s="42"/>
      <c r="H133" s="42"/>
      <c r="I133" s="42"/>
      <c r="J133" s="43" t="str">
        <f aca="false">IF(I133="","",ROUND(I133/1.2,2))</f>
        <v/>
      </c>
      <c r="K133" s="42"/>
      <c r="L133" s="43" t="str">
        <f aca="false">IF(OR(I133="",K133=""),"",I133-K133)</f>
        <v/>
      </c>
      <c r="M133" s="43" t="str">
        <f aca="false">IF(L133="","",L133-N133)</f>
        <v/>
      </c>
      <c r="N133" s="45" t="str">
        <f aca="false">IF(L133="","",ROUND(L133/6,2))</f>
        <v/>
      </c>
      <c r="O133" s="44" t="str">
        <f aca="false">IF(OR(K133="",K133=0),"",M133/K133)</f>
        <v/>
      </c>
      <c r="P133" s="42"/>
      <c r="Q133" s="42"/>
      <c r="R133" s="42"/>
      <c r="S133" s="42"/>
      <c r="T133" s="42"/>
      <c r="U133" s="42"/>
      <c r="V133" s="42"/>
      <c r="W133" s="42"/>
      <c r="X133" s="42"/>
    </row>
    <row r="134" customFormat="false" ht="21.75" hidden="false" customHeight="true" outlineLevel="0" collapsed="false">
      <c r="A134" s="37"/>
      <c r="B134" s="37"/>
      <c r="C134" s="37"/>
      <c r="D134" s="37"/>
      <c r="E134" s="37"/>
      <c r="F134" s="37"/>
      <c r="G134" s="37"/>
      <c r="H134" s="37"/>
      <c r="I134" s="37"/>
      <c r="J134" s="38" t="str">
        <f aca="false">IF(I134="","",ROUND(I134/1.2,2))</f>
        <v/>
      </c>
      <c r="K134" s="37"/>
      <c r="L134" s="38" t="str">
        <f aca="false">IF(OR(I134="",K134=""),"",I134-K134)</f>
        <v/>
      </c>
      <c r="M134" s="38" t="str">
        <f aca="false">IF(L134="","",L134-N134)</f>
        <v/>
      </c>
      <c r="N134" s="40" t="str">
        <f aca="false">IF(L134="","",ROUND(L134/6,2))</f>
        <v/>
      </c>
      <c r="O134" s="39" t="str">
        <f aca="false">IF(OR(K134="",K134=0),"",M134/K134)</f>
        <v/>
      </c>
      <c r="P134" s="37"/>
      <c r="Q134" s="37"/>
      <c r="R134" s="37"/>
      <c r="S134" s="37"/>
      <c r="T134" s="37"/>
      <c r="U134" s="37"/>
      <c r="V134" s="37"/>
      <c r="W134" s="37"/>
      <c r="X134" s="37"/>
    </row>
    <row r="135" customFormat="false" ht="21.75" hidden="false" customHeight="true" outlineLevel="0" collapsed="false">
      <c r="A135" s="42"/>
      <c r="B135" s="42"/>
      <c r="C135" s="42"/>
      <c r="D135" s="42"/>
      <c r="E135" s="42"/>
      <c r="F135" s="42"/>
      <c r="G135" s="42"/>
      <c r="H135" s="42"/>
      <c r="I135" s="42"/>
      <c r="J135" s="43" t="str">
        <f aca="false">IF(I135="","",ROUND(I135/1.2,2))</f>
        <v/>
      </c>
      <c r="K135" s="42"/>
      <c r="L135" s="43" t="str">
        <f aca="false">IF(OR(I135="",K135=""),"",I135-K135)</f>
        <v/>
      </c>
      <c r="M135" s="43" t="str">
        <f aca="false">IF(L135="","",L135-N135)</f>
        <v/>
      </c>
      <c r="N135" s="45" t="str">
        <f aca="false">IF(L135="","",ROUND(L135/6,2))</f>
        <v/>
      </c>
      <c r="O135" s="44" t="str">
        <f aca="false">IF(OR(K135="",K135=0),"",M135/K135)</f>
        <v/>
      </c>
      <c r="P135" s="42"/>
      <c r="Q135" s="42"/>
      <c r="R135" s="42"/>
      <c r="S135" s="42"/>
      <c r="T135" s="42"/>
      <c r="U135" s="42"/>
      <c r="V135" s="42"/>
      <c r="W135" s="42"/>
      <c r="X135" s="42"/>
    </row>
    <row r="136" customFormat="false" ht="21.75" hidden="false" customHeight="true" outlineLevel="0" collapsed="false">
      <c r="A136" s="37"/>
      <c r="B136" s="37"/>
      <c r="C136" s="37"/>
      <c r="D136" s="37"/>
      <c r="E136" s="37"/>
      <c r="F136" s="37"/>
      <c r="G136" s="37"/>
      <c r="H136" s="37"/>
      <c r="I136" s="37"/>
      <c r="J136" s="38" t="str">
        <f aca="false">IF(I136="","",ROUND(I136/1.2,2))</f>
        <v/>
      </c>
      <c r="K136" s="37"/>
      <c r="L136" s="38" t="str">
        <f aca="false">IF(OR(I136="",K136=""),"",I136-K136)</f>
        <v/>
      </c>
      <c r="M136" s="38" t="str">
        <f aca="false">IF(L136="","",L136-N136)</f>
        <v/>
      </c>
      <c r="N136" s="40" t="str">
        <f aca="false">IF(L136="","",ROUND(L136/6,2))</f>
        <v/>
      </c>
      <c r="O136" s="39" t="str">
        <f aca="false">IF(OR(K136="",K136=0),"",M136/K136)</f>
        <v/>
      </c>
      <c r="P136" s="37"/>
      <c r="Q136" s="37"/>
      <c r="R136" s="37"/>
      <c r="S136" s="37"/>
      <c r="T136" s="37"/>
      <c r="U136" s="37"/>
      <c r="V136" s="37"/>
      <c r="W136" s="37"/>
      <c r="X136" s="37"/>
    </row>
    <row r="137" customFormat="false" ht="21.75" hidden="false" customHeight="true" outlineLevel="0" collapsed="false">
      <c r="A137" s="42"/>
      <c r="B137" s="42"/>
      <c r="C137" s="42"/>
      <c r="D137" s="42"/>
      <c r="E137" s="42"/>
      <c r="F137" s="42"/>
      <c r="G137" s="42"/>
      <c r="H137" s="42"/>
      <c r="I137" s="42"/>
      <c r="J137" s="43" t="str">
        <f aca="false">IF(I137="","",ROUND(I137/1.2,2))</f>
        <v/>
      </c>
      <c r="K137" s="42"/>
      <c r="L137" s="43" t="str">
        <f aca="false">IF(OR(I137="",K137=""),"",I137-K137)</f>
        <v/>
      </c>
      <c r="M137" s="43" t="str">
        <f aca="false">IF(L137="","",L137-N137)</f>
        <v/>
      </c>
      <c r="N137" s="45" t="str">
        <f aca="false">IF(L137="","",ROUND(L137/6,2))</f>
        <v/>
      </c>
      <c r="O137" s="44" t="str">
        <f aca="false">IF(OR(K137="",K137=0),"",M137/K137)</f>
        <v/>
      </c>
      <c r="P137" s="42"/>
      <c r="Q137" s="42"/>
      <c r="R137" s="42"/>
      <c r="S137" s="42"/>
      <c r="T137" s="42"/>
      <c r="U137" s="42"/>
      <c r="V137" s="42"/>
      <c r="W137" s="42"/>
      <c r="X137" s="42"/>
    </row>
    <row r="138" customFormat="false" ht="21.75" hidden="false" customHeight="true" outlineLevel="0" collapsed="false">
      <c r="A138" s="37"/>
      <c r="B138" s="37"/>
      <c r="C138" s="37"/>
      <c r="D138" s="37"/>
      <c r="E138" s="37"/>
      <c r="F138" s="37"/>
      <c r="G138" s="37"/>
      <c r="H138" s="37"/>
      <c r="I138" s="37"/>
      <c r="J138" s="38" t="str">
        <f aca="false">IF(I138="","",ROUND(I138/1.2,2))</f>
        <v/>
      </c>
      <c r="K138" s="37"/>
      <c r="L138" s="38" t="str">
        <f aca="false">IF(OR(I138="",K138=""),"",I138-K138)</f>
        <v/>
      </c>
      <c r="M138" s="38" t="str">
        <f aca="false">IF(L138="","",L138-N138)</f>
        <v/>
      </c>
      <c r="N138" s="40" t="str">
        <f aca="false">IF(L138="","",ROUND(L138/6,2))</f>
        <v/>
      </c>
      <c r="O138" s="39" t="str">
        <f aca="false">IF(OR(K138="",K138=0),"",M138/K138)</f>
        <v/>
      </c>
      <c r="P138" s="37"/>
      <c r="Q138" s="37"/>
      <c r="R138" s="37"/>
      <c r="S138" s="37"/>
      <c r="T138" s="37"/>
      <c r="U138" s="37"/>
      <c r="V138" s="37"/>
      <c r="W138" s="37"/>
      <c r="X138" s="37"/>
    </row>
    <row r="139" customFormat="false" ht="21.75" hidden="false" customHeight="true" outlineLevel="0" collapsed="false">
      <c r="A139" s="42"/>
      <c r="B139" s="42"/>
      <c r="C139" s="42"/>
      <c r="D139" s="42"/>
      <c r="E139" s="42"/>
      <c r="F139" s="42"/>
      <c r="G139" s="42"/>
      <c r="H139" s="42"/>
      <c r="I139" s="42"/>
      <c r="J139" s="43" t="str">
        <f aca="false">IF(I139="","",ROUND(I139/1.2,2))</f>
        <v/>
      </c>
      <c r="K139" s="42"/>
      <c r="L139" s="43" t="str">
        <f aca="false">IF(OR(I139="",K139=""),"",I139-K139)</f>
        <v/>
      </c>
      <c r="M139" s="43" t="str">
        <f aca="false">IF(L139="","",L139-N139)</f>
        <v/>
      </c>
      <c r="N139" s="45" t="str">
        <f aca="false">IF(L139="","",ROUND(L139/6,2))</f>
        <v/>
      </c>
      <c r="O139" s="44" t="str">
        <f aca="false">IF(OR(K139="",K139=0),"",M139/K139)</f>
        <v/>
      </c>
      <c r="P139" s="42"/>
      <c r="Q139" s="42"/>
      <c r="R139" s="42"/>
      <c r="S139" s="42"/>
      <c r="T139" s="42"/>
      <c r="U139" s="42"/>
      <c r="V139" s="42"/>
      <c r="W139" s="42"/>
      <c r="X139" s="42"/>
    </row>
    <row r="140" customFormat="false" ht="21.75" hidden="false" customHeight="true" outlineLevel="0" collapsed="false">
      <c r="A140" s="37"/>
      <c r="B140" s="37"/>
      <c r="C140" s="37"/>
      <c r="D140" s="37"/>
      <c r="E140" s="37"/>
      <c r="F140" s="37"/>
      <c r="G140" s="37"/>
      <c r="H140" s="37"/>
      <c r="I140" s="37"/>
      <c r="J140" s="38" t="str">
        <f aca="false">IF(I140="","",ROUND(I140/1.2,2))</f>
        <v/>
      </c>
      <c r="K140" s="37"/>
      <c r="L140" s="38" t="str">
        <f aca="false">IF(OR(I140="",K140=""),"",I140-K140)</f>
        <v/>
      </c>
      <c r="M140" s="38" t="str">
        <f aca="false">IF(L140="","",L140-N140)</f>
        <v/>
      </c>
      <c r="N140" s="40" t="str">
        <f aca="false">IF(L140="","",ROUND(L140/6,2))</f>
        <v/>
      </c>
      <c r="O140" s="39" t="str">
        <f aca="false">IF(OR(K140="",K140=0),"",M140/K140)</f>
        <v/>
      </c>
      <c r="P140" s="37"/>
      <c r="Q140" s="37"/>
      <c r="R140" s="37"/>
      <c r="S140" s="37"/>
      <c r="T140" s="37"/>
      <c r="U140" s="37"/>
      <c r="V140" s="37"/>
      <c r="W140" s="37"/>
      <c r="X140" s="37"/>
    </row>
    <row r="141" customFormat="false" ht="21.75" hidden="false" customHeight="true" outlineLevel="0" collapsed="false">
      <c r="A141" s="42"/>
      <c r="B141" s="42"/>
      <c r="C141" s="42"/>
      <c r="D141" s="42"/>
      <c r="E141" s="42"/>
      <c r="F141" s="42"/>
      <c r="G141" s="42"/>
      <c r="H141" s="42"/>
      <c r="I141" s="42"/>
      <c r="J141" s="43" t="str">
        <f aca="false">IF(I141="","",ROUND(I141/1.2,2))</f>
        <v/>
      </c>
      <c r="K141" s="42"/>
      <c r="L141" s="43" t="str">
        <f aca="false">IF(OR(I141="",K141=""),"",I141-K141)</f>
        <v/>
      </c>
      <c r="M141" s="43" t="str">
        <f aca="false">IF(L141="","",L141-N141)</f>
        <v/>
      </c>
      <c r="N141" s="45" t="str">
        <f aca="false">IF(L141="","",ROUND(L141/6,2))</f>
        <v/>
      </c>
      <c r="O141" s="44" t="str">
        <f aca="false">IF(OR(K141="",K141=0),"",M141/K141)</f>
        <v/>
      </c>
      <c r="P141" s="42"/>
      <c r="Q141" s="42"/>
      <c r="R141" s="42"/>
      <c r="S141" s="42"/>
      <c r="T141" s="42"/>
      <c r="U141" s="42"/>
      <c r="V141" s="42"/>
      <c r="W141" s="42"/>
      <c r="X141" s="42"/>
    </row>
    <row r="142" customFormat="false" ht="21.75" hidden="false" customHeight="true" outlineLevel="0" collapsed="false">
      <c r="A142" s="37"/>
      <c r="B142" s="37"/>
      <c r="C142" s="37"/>
      <c r="D142" s="37"/>
      <c r="E142" s="37"/>
      <c r="F142" s="37"/>
      <c r="G142" s="37"/>
      <c r="H142" s="37"/>
      <c r="I142" s="37"/>
      <c r="J142" s="38" t="str">
        <f aca="false">IF(I142="","",ROUND(I142/1.2,2))</f>
        <v/>
      </c>
      <c r="K142" s="37"/>
      <c r="L142" s="38" t="str">
        <f aca="false">IF(OR(I142="",K142=""),"",I142-K142)</f>
        <v/>
      </c>
      <c r="M142" s="38" t="str">
        <f aca="false">IF(L142="","",L142-N142)</f>
        <v/>
      </c>
      <c r="N142" s="40" t="str">
        <f aca="false">IF(L142="","",ROUND(L142/6,2))</f>
        <v/>
      </c>
      <c r="O142" s="39" t="str">
        <f aca="false">IF(OR(K142="",K142=0),"",M142/K142)</f>
        <v/>
      </c>
      <c r="P142" s="37"/>
      <c r="Q142" s="37"/>
      <c r="R142" s="37"/>
      <c r="S142" s="37"/>
      <c r="T142" s="37"/>
      <c r="U142" s="37"/>
      <c r="V142" s="37"/>
      <c r="W142" s="37"/>
      <c r="X142" s="37"/>
    </row>
    <row r="143" customFormat="false" ht="21.75" hidden="false" customHeight="true" outlineLevel="0" collapsed="false">
      <c r="A143" s="42"/>
      <c r="B143" s="42"/>
      <c r="C143" s="42"/>
      <c r="D143" s="42"/>
      <c r="E143" s="42"/>
      <c r="F143" s="42"/>
      <c r="G143" s="42"/>
      <c r="H143" s="42"/>
      <c r="I143" s="42"/>
      <c r="J143" s="43" t="str">
        <f aca="false">IF(I143="","",ROUND(I143/1.2,2))</f>
        <v/>
      </c>
      <c r="K143" s="42"/>
      <c r="L143" s="43" t="str">
        <f aca="false">IF(OR(I143="",K143=""),"",I143-K143)</f>
        <v/>
      </c>
      <c r="M143" s="43" t="str">
        <f aca="false">IF(L143="","",L143-N143)</f>
        <v/>
      </c>
      <c r="N143" s="45" t="str">
        <f aca="false">IF(L143="","",ROUND(L143/6,2))</f>
        <v/>
      </c>
      <c r="O143" s="44" t="str">
        <f aca="false">IF(OR(K143="",K143=0),"",M143/K143)</f>
        <v/>
      </c>
      <c r="P143" s="42"/>
      <c r="Q143" s="42"/>
      <c r="R143" s="42"/>
      <c r="S143" s="42"/>
      <c r="T143" s="42"/>
      <c r="U143" s="42"/>
      <c r="V143" s="42"/>
      <c r="W143" s="42"/>
      <c r="X143" s="42"/>
    </row>
    <row r="144" customFormat="false" ht="21.75" hidden="false" customHeight="true" outlineLevel="0" collapsed="false">
      <c r="A144" s="37"/>
      <c r="B144" s="37"/>
      <c r="C144" s="37"/>
      <c r="D144" s="37"/>
      <c r="E144" s="37"/>
      <c r="F144" s="37"/>
      <c r="G144" s="37"/>
      <c r="H144" s="37"/>
      <c r="I144" s="37"/>
      <c r="J144" s="38" t="str">
        <f aca="false">IF(I144="","",ROUND(I144/1.2,2))</f>
        <v/>
      </c>
      <c r="K144" s="37"/>
      <c r="L144" s="38" t="str">
        <f aca="false">IF(OR(I144="",K144=""),"",I144-K144)</f>
        <v/>
      </c>
      <c r="M144" s="38" t="str">
        <f aca="false">IF(L144="","",L144-N144)</f>
        <v/>
      </c>
      <c r="N144" s="40" t="str">
        <f aca="false">IF(L144="","",ROUND(L144/6,2))</f>
        <v/>
      </c>
      <c r="O144" s="39" t="str">
        <f aca="false">IF(OR(K144="",K144=0),"",M144/K144)</f>
        <v/>
      </c>
      <c r="P144" s="37"/>
      <c r="Q144" s="37"/>
      <c r="R144" s="37"/>
      <c r="S144" s="37"/>
      <c r="T144" s="37"/>
      <c r="U144" s="37"/>
      <c r="V144" s="37"/>
      <c r="W144" s="37"/>
      <c r="X144" s="37"/>
    </row>
    <row r="145" customFormat="false" ht="21.75" hidden="false" customHeight="true" outlineLevel="0" collapsed="false">
      <c r="A145" s="42"/>
      <c r="B145" s="42"/>
      <c r="C145" s="42"/>
      <c r="D145" s="42"/>
      <c r="E145" s="42"/>
      <c r="F145" s="42"/>
      <c r="G145" s="42"/>
      <c r="H145" s="42"/>
      <c r="I145" s="42"/>
      <c r="J145" s="43" t="str">
        <f aca="false">IF(I145="","",ROUND(I145/1.2,2))</f>
        <v/>
      </c>
      <c r="K145" s="42"/>
      <c r="L145" s="43" t="str">
        <f aca="false">IF(OR(I145="",K145=""),"",I145-K145)</f>
        <v/>
      </c>
      <c r="M145" s="43" t="str">
        <f aca="false">IF(L145="","",L145-N145)</f>
        <v/>
      </c>
      <c r="N145" s="45" t="str">
        <f aca="false">IF(L145="","",ROUND(L145/6,2))</f>
        <v/>
      </c>
      <c r="O145" s="44" t="str">
        <f aca="false">IF(OR(K145="",K145=0),"",M145/K145)</f>
        <v/>
      </c>
      <c r="P145" s="42"/>
      <c r="Q145" s="42"/>
      <c r="R145" s="42"/>
      <c r="S145" s="42"/>
      <c r="T145" s="42"/>
      <c r="U145" s="42"/>
      <c r="V145" s="42"/>
      <c r="W145" s="42"/>
      <c r="X145" s="42"/>
    </row>
    <row r="146" customFormat="false" ht="21.75" hidden="false" customHeight="true" outlineLevel="0" collapsed="false">
      <c r="A146" s="37"/>
      <c r="B146" s="37"/>
      <c r="C146" s="37"/>
      <c r="D146" s="37"/>
      <c r="E146" s="37"/>
      <c r="F146" s="37"/>
      <c r="G146" s="37"/>
      <c r="H146" s="37"/>
      <c r="I146" s="37"/>
      <c r="J146" s="38" t="str">
        <f aca="false">IF(I146="","",ROUND(I146/1.2,2))</f>
        <v/>
      </c>
      <c r="K146" s="37"/>
      <c r="L146" s="38" t="str">
        <f aca="false">IF(OR(I146="",K146=""),"",I146-K146)</f>
        <v/>
      </c>
      <c r="M146" s="38" t="str">
        <f aca="false">IF(L146="","",L146-N146)</f>
        <v/>
      </c>
      <c r="N146" s="40" t="str">
        <f aca="false">IF(L146="","",ROUND(L146/6,2))</f>
        <v/>
      </c>
      <c r="O146" s="39" t="str">
        <f aca="false">IF(OR(K146="",K146=0),"",M146/K146)</f>
        <v/>
      </c>
      <c r="P146" s="37"/>
      <c r="Q146" s="37"/>
      <c r="R146" s="37"/>
      <c r="S146" s="37"/>
      <c r="T146" s="37"/>
      <c r="U146" s="37"/>
      <c r="V146" s="37"/>
      <c r="W146" s="37"/>
      <c r="X146" s="37"/>
    </row>
    <row r="147" customFormat="false" ht="21.75" hidden="false" customHeight="true" outlineLevel="0" collapsed="false">
      <c r="A147" s="42"/>
      <c r="B147" s="42"/>
      <c r="C147" s="42"/>
      <c r="D147" s="42"/>
      <c r="E147" s="42"/>
      <c r="F147" s="42"/>
      <c r="G147" s="42"/>
      <c r="H147" s="42"/>
      <c r="I147" s="42"/>
      <c r="J147" s="43" t="str">
        <f aca="false">IF(I147="","",ROUND(I147/1.2,2))</f>
        <v/>
      </c>
      <c r="K147" s="42"/>
      <c r="L147" s="43" t="str">
        <f aca="false">IF(OR(I147="",K147=""),"",I147-K147)</f>
        <v/>
      </c>
      <c r="M147" s="43" t="str">
        <f aca="false">IF(L147="","",L147-N147)</f>
        <v/>
      </c>
      <c r="N147" s="45" t="str">
        <f aca="false">IF(L147="","",ROUND(L147/6,2))</f>
        <v/>
      </c>
      <c r="O147" s="44" t="str">
        <f aca="false">IF(OR(K147="",K147=0),"",M147/K147)</f>
        <v/>
      </c>
      <c r="P147" s="42"/>
      <c r="Q147" s="42"/>
      <c r="R147" s="42"/>
      <c r="S147" s="42"/>
      <c r="T147" s="42"/>
      <c r="U147" s="42"/>
      <c r="V147" s="42"/>
      <c r="W147" s="42"/>
      <c r="X147" s="42"/>
    </row>
    <row r="148" customFormat="false" ht="21.75" hidden="false" customHeight="true" outlineLevel="0" collapsed="false">
      <c r="A148" s="37"/>
      <c r="B148" s="37"/>
      <c r="C148" s="37"/>
      <c r="D148" s="37"/>
      <c r="E148" s="37"/>
      <c r="F148" s="37"/>
      <c r="G148" s="37"/>
      <c r="H148" s="37"/>
      <c r="I148" s="37"/>
      <c r="J148" s="38" t="str">
        <f aca="false">IF(I148="","",ROUND(I148/1.2,2))</f>
        <v/>
      </c>
      <c r="K148" s="37"/>
      <c r="L148" s="38" t="str">
        <f aca="false">IF(OR(I148="",K148=""),"",I148-K148)</f>
        <v/>
      </c>
      <c r="M148" s="38" t="str">
        <f aca="false">IF(L148="","",L148-N148)</f>
        <v/>
      </c>
      <c r="N148" s="40" t="str">
        <f aca="false">IF(L148="","",ROUND(L148/6,2))</f>
        <v/>
      </c>
      <c r="O148" s="39" t="str">
        <f aca="false">IF(OR(K148="",K148=0),"",M148/K148)</f>
        <v/>
      </c>
      <c r="P148" s="37"/>
      <c r="Q148" s="37"/>
      <c r="R148" s="37"/>
      <c r="S148" s="37"/>
      <c r="T148" s="37"/>
      <c r="U148" s="37"/>
      <c r="V148" s="37"/>
      <c r="W148" s="37"/>
      <c r="X148" s="37"/>
    </row>
    <row r="149" customFormat="false" ht="21.75" hidden="false" customHeight="true" outlineLevel="0" collapsed="false">
      <c r="A149" s="42"/>
      <c r="B149" s="42"/>
      <c r="C149" s="42"/>
      <c r="D149" s="42"/>
      <c r="E149" s="42"/>
      <c r="F149" s="42"/>
      <c r="G149" s="42"/>
      <c r="H149" s="42"/>
      <c r="I149" s="42"/>
      <c r="J149" s="43" t="str">
        <f aca="false">IF(I149="","",ROUND(I149/1.2,2))</f>
        <v/>
      </c>
      <c r="K149" s="42"/>
      <c r="L149" s="43" t="str">
        <f aca="false">IF(OR(I149="",K149=""),"",I149-K149)</f>
        <v/>
      </c>
      <c r="M149" s="43" t="str">
        <f aca="false">IF(L149="","",L149-N149)</f>
        <v/>
      </c>
      <c r="N149" s="45" t="str">
        <f aca="false">IF(L149="","",ROUND(L149/6,2))</f>
        <v/>
      </c>
      <c r="O149" s="44" t="str">
        <f aca="false">IF(OR(K149="",K149=0),"",M149/K149)</f>
        <v/>
      </c>
      <c r="P149" s="42"/>
      <c r="Q149" s="42"/>
      <c r="R149" s="42"/>
      <c r="S149" s="42"/>
      <c r="T149" s="42"/>
      <c r="U149" s="42"/>
      <c r="V149" s="42"/>
      <c r="W149" s="42"/>
      <c r="X149" s="42"/>
    </row>
    <row r="150" customFormat="false" ht="21.75" hidden="false" customHeight="true" outlineLevel="0" collapsed="false">
      <c r="A150" s="37"/>
      <c r="B150" s="37"/>
      <c r="C150" s="37"/>
      <c r="D150" s="37"/>
      <c r="E150" s="37"/>
      <c r="F150" s="37"/>
      <c r="G150" s="37"/>
      <c r="H150" s="37"/>
      <c r="I150" s="37"/>
      <c r="J150" s="38" t="str">
        <f aca="false">IF(I150="","",ROUND(I150/1.2,2))</f>
        <v/>
      </c>
      <c r="K150" s="37"/>
      <c r="L150" s="38" t="str">
        <f aca="false">IF(OR(I150="",K150=""),"",I150-K150)</f>
        <v/>
      </c>
      <c r="M150" s="38" t="str">
        <f aca="false">IF(L150="","",L150-N150)</f>
        <v/>
      </c>
      <c r="N150" s="40" t="str">
        <f aca="false">IF(L150="","",ROUND(L150/6,2))</f>
        <v/>
      </c>
      <c r="O150" s="39" t="str">
        <f aca="false">IF(OR(K150="",K150=0),"",M150/K150)</f>
        <v/>
      </c>
      <c r="P150" s="37"/>
      <c r="Q150" s="37"/>
      <c r="R150" s="37"/>
      <c r="S150" s="37"/>
      <c r="T150" s="37"/>
      <c r="U150" s="37"/>
      <c r="V150" s="37"/>
      <c r="W150" s="37"/>
      <c r="X150" s="37"/>
    </row>
    <row r="151" customFormat="false" ht="21.75" hidden="false" customHeight="true" outlineLevel="0" collapsed="false">
      <c r="A151" s="42"/>
      <c r="B151" s="42"/>
      <c r="C151" s="42"/>
      <c r="D151" s="42"/>
      <c r="E151" s="42"/>
      <c r="F151" s="42"/>
      <c r="G151" s="42"/>
      <c r="H151" s="42"/>
      <c r="I151" s="42"/>
      <c r="J151" s="43" t="str">
        <f aca="false">IF(I151="","",ROUND(I151/1.2,2))</f>
        <v/>
      </c>
      <c r="K151" s="42"/>
      <c r="L151" s="43" t="str">
        <f aca="false">IF(OR(I151="",K151=""),"",I151-K151)</f>
        <v/>
      </c>
      <c r="M151" s="43" t="str">
        <f aca="false">IF(L151="","",L151-N151)</f>
        <v/>
      </c>
      <c r="N151" s="45" t="str">
        <f aca="false">IF(L151="","",ROUND(L151/6,2))</f>
        <v/>
      </c>
      <c r="O151" s="44" t="str">
        <f aca="false">IF(OR(K151="",K151=0),"",M151/K151)</f>
        <v/>
      </c>
      <c r="P151" s="42"/>
      <c r="Q151" s="42"/>
      <c r="R151" s="42"/>
      <c r="S151" s="42"/>
      <c r="T151" s="42"/>
      <c r="U151" s="42"/>
      <c r="V151" s="42"/>
      <c r="W151" s="42"/>
      <c r="X151" s="42"/>
    </row>
    <row r="152" customFormat="false" ht="21.75" hidden="false" customHeight="true" outlineLevel="0" collapsed="false">
      <c r="A152" s="37"/>
      <c r="B152" s="37"/>
      <c r="C152" s="37"/>
      <c r="D152" s="37"/>
      <c r="E152" s="37"/>
      <c r="F152" s="37"/>
      <c r="G152" s="37"/>
      <c r="H152" s="37"/>
      <c r="I152" s="37"/>
      <c r="J152" s="38" t="str">
        <f aca="false">IF(I152="","",ROUND(I152/1.2,2))</f>
        <v/>
      </c>
      <c r="K152" s="37"/>
      <c r="L152" s="38" t="str">
        <f aca="false">IF(OR(I152="",K152=""),"",I152-K152)</f>
        <v/>
      </c>
      <c r="M152" s="38" t="str">
        <f aca="false">IF(L152="","",L152-N152)</f>
        <v/>
      </c>
      <c r="N152" s="40" t="str">
        <f aca="false">IF(L152="","",ROUND(L152/6,2))</f>
        <v/>
      </c>
      <c r="O152" s="39" t="str">
        <f aca="false">IF(OR(K152="",K152=0),"",M152/K152)</f>
        <v/>
      </c>
      <c r="P152" s="37"/>
      <c r="Q152" s="37"/>
      <c r="R152" s="37"/>
      <c r="S152" s="37"/>
      <c r="T152" s="37"/>
      <c r="U152" s="37"/>
      <c r="V152" s="37"/>
      <c r="W152" s="37"/>
      <c r="X152" s="37"/>
    </row>
    <row r="153" customFormat="false" ht="21.75" hidden="false" customHeight="true" outlineLevel="0" collapsed="false">
      <c r="A153" s="42"/>
      <c r="B153" s="42"/>
      <c r="C153" s="42"/>
      <c r="D153" s="42"/>
      <c r="E153" s="42"/>
      <c r="F153" s="42"/>
      <c r="G153" s="42"/>
      <c r="H153" s="42"/>
      <c r="I153" s="42"/>
      <c r="J153" s="43" t="str">
        <f aca="false">IF(I153="","",ROUND(I153/1.2,2))</f>
        <v/>
      </c>
      <c r="K153" s="42"/>
      <c r="L153" s="43" t="str">
        <f aca="false">IF(OR(I153="",K153=""),"",I153-K153)</f>
        <v/>
      </c>
      <c r="M153" s="43" t="str">
        <f aca="false">IF(L153="","",L153-N153)</f>
        <v/>
      </c>
      <c r="N153" s="45" t="str">
        <f aca="false">IF(L153="","",ROUND(L153/6,2))</f>
        <v/>
      </c>
      <c r="O153" s="44" t="str">
        <f aca="false">IF(OR(K153="",K153=0),"",M153/K153)</f>
        <v/>
      </c>
      <c r="P153" s="42"/>
      <c r="Q153" s="42"/>
      <c r="R153" s="42"/>
      <c r="S153" s="42"/>
      <c r="T153" s="42"/>
      <c r="U153" s="42"/>
      <c r="V153" s="42"/>
      <c r="W153" s="42"/>
      <c r="X153" s="42"/>
    </row>
    <row r="154" customFormat="false" ht="21.75" hidden="false" customHeight="true" outlineLevel="0" collapsed="false">
      <c r="A154" s="37"/>
      <c r="B154" s="37"/>
      <c r="C154" s="37"/>
      <c r="D154" s="37"/>
      <c r="E154" s="37"/>
      <c r="F154" s="37"/>
      <c r="G154" s="37"/>
      <c r="H154" s="37"/>
      <c r="I154" s="37"/>
      <c r="J154" s="38" t="str">
        <f aca="false">IF(I154="","",ROUND(I154/1.2,2))</f>
        <v/>
      </c>
      <c r="K154" s="37"/>
      <c r="L154" s="38" t="str">
        <f aca="false">IF(OR(I154="",K154=""),"",I154-K154)</f>
        <v/>
      </c>
      <c r="M154" s="38" t="str">
        <f aca="false">IF(L154="","",L154-N154)</f>
        <v/>
      </c>
      <c r="N154" s="40" t="str">
        <f aca="false">IF(L154="","",ROUND(L154/6,2))</f>
        <v/>
      </c>
      <c r="O154" s="39" t="str">
        <f aca="false">IF(OR(K154="",K154=0),"",M154/K154)</f>
        <v/>
      </c>
      <c r="P154" s="37"/>
      <c r="Q154" s="37"/>
      <c r="R154" s="37"/>
      <c r="S154" s="37"/>
      <c r="T154" s="37"/>
      <c r="U154" s="37"/>
      <c r="V154" s="37"/>
      <c r="W154" s="37"/>
      <c r="X154" s="37"/>
    </row>
    <row r="155" customFormat="false" ht="21.75" hidden="false" customHeight="true" outlineLevel="0" collapsed="false">
      <c r="A155" s="42"/>
      <c r="B155" s="42"/>
      <c r="C155" s="42"/>
      <c r="D155" s="42"/>
      <c r="E155" s="42"/>
      <c r="F155" s="42"/>
      <c r="G155" s="42"/>
      <c r="H155" s="42"/>
      <c r="I155" s="42"/>
      <c r="J155" s="43" t="str">
        <f aca="false">IF(I155="","",ROUND(I155/1.2,2))</f>
        <v/>
      </c>
      <c r="K155" s="42"/>
      <c r="L155" s="43" t="str">
        <f aca="false">IF(OR(I155="",K155=""),"",I155-K155)</f>
        <v/>
      </c>
      <c r="M155" s="43" t="str">
        <f aca="false">IF(L155="","",L155-N155)</f>
        <v/>
      </c>
      <c r="N155" s="45" t="str">
        <f aca="false">IF(L155="","",ROUND(L155/6,2))</f>
        <v/>
      </c>
      <c r="O155" s="44" t="str">
        <f aca="false">IF(OR(K155="",K155=0),"",M155/K155)</f>
        <v/>
      </c>
      <c r="P155" s="42"/>
      <c r="Q155" s="42"/>
      <c r="R155" s="42"/>
      <c r="S155" s="42"/>
      <c r="T155" s="42"/>
      <c r="U155" s="42"/>
      <c r="V155" s="42"/>
      <c r="W155" s="42"/>
      <c r="X155" s="42"/>
    </row>
    <row r="156" customFormat="false" ht="21.75" hidden="false" customHeight="true" outlineLevel="0" collapsed="false">
      <c r="A156" s="37"/>
      <c r="B156" s="37"/>
      <c r="C156" s="37"/>
      <c r="D156" s="37"/>
      <c r="E156" s="37"/>
      <c r="F156" s="37"/>
      <c r="G156" s="37"/>
      <c r="H156" s="37"/>
      <c r="I156" s="37"/>
      <c r="J156" s="38" t="str">
        <f aca="false">IF(I156="","",ROUND(I156/1.2,2))</f>
        <v/>
      </c>
      <c r="K156" s="37"/>
      <c r="L156" s="38" t="str">
        <f aca="false">IF(OR(I156="",K156=""),"",I156-K156)</f>
        <v/>
      </c>
      <c r="M156" s="38" t="str">
        <f aca="false">IF(L156="","",L156-N156)</f>
        <v/>
      </c>
      <c r="N156" s="40" t="str">
        <f aca="false">IF(L156="","",ROUND(L156/6,2))</f>
        <v/>
      </c>
      <c r="O156" s="39" t="str">
        <f aca="false">IF(OR(K156="",K156=0),"",M156/K156)</f>
        <v/>
      </c>
      <c r="P156" s="37"/>
      <c r="Q156" s="37"/>
      <c r="R156" s="37"/>
      <c r="S156" s="37"/>
      <c r="T156" s="37"/>
      <c r="U156" s="37"/>
      <c r="V156" s="37"/>
      <c r="W156" s="37"/>
      <c r="X156" s="37"/>
    </row>
    <row r="157" customFormat="false" ht="21.75" hidden="false" customHeight="true" outlineLevel="0" collapsed="false">
      <c r="A157" s="42"/>
      <c r="B157" s="42"/>
      <c r="C157" s="42"/>
      <c r="D157" s="42"/>
      <c r="E157" s="42"/>
      <c r="F157" s="42"/>
      <c r="G157" s="42"/>
      <c r="H157" s="42"/>
      <c r="I157" s="42"/>
      <c r="J157" s="43" t="str">
        <f aca="false">IF(I157="","",ROUND(I157/1.2,2))</f>
        <v/>
      </c>
      <c r="K157" s="42"/>
      <c r="L157" s="43" t="str">
        <f aca="false">IF(OR(I157="",K157=""),"",I157-K157)</f>
        <v/>
      </c>
      <c r="M157" s="43" t="str">
        <f aca="false">IF(L157="","",L157-N157)</f>
        <v/>
      </c>
      <c r="N157" s="45" t="str">
        <f aca="false">IF(L157="","",ROUND(L157/6,2))</f>
        <v/>
      </c>
      <c r="O157" s="44" t="str">
        <f aca="false">IF(OR(K157="",K157=0),"",M157/K157)</f>
        <v/>
      </c>
      <c r="P157" s="42"/>
      <c r="Q157" s="42"/>
      <c r="R157" s="42"/>
      <c r="S157" s="42"/>
      <c r="T157" s="42"/>
      <c r="U157" s="42"/>
      <c r="V157" s="42"/>
      <c r="W157" s="42"/>
      <c r="X157" s="42"/>
    </row>
    <row r="158" customFormat="false" ht="21.75" hidden="false" customHeight="true" outlineLevel="0" collapsed="false">
      <c r="A158" s="37"/>
      <c r="B158" s="37"/>
      <c r="C158" s="37"/>
      <c r="D158" s="37"/>
      <c r="E158" s="37"/>
      <c r="F158" s="37"/>
      <c r="G158" s="37"/>
      <c r="H158" s="37"/>
      <c r="I158" s="37"/>
      <c r="J158" s="38" t="str">
        <f aca="false">IF(I158="","",ROUND(I158/1.2,2))</f>
        <v/>
      </c>
      <c r="K158" s="37"/>
      <c r="L158" s="38" t="str">
        <f aca="false">IF(OR(I158="",K158=""),"",I158-K158)</f>
        <v/>
      </c>
      <c r="M158" s="38" t="str">
        <f aca="false">IF(L158="","",L158-N158)</f>
        <v/>
      </c>
      <c r="N158" s="40" t="str">
        <f aca="false">IF(L158="","",ROUND(L158/6,2))</f>
        <v/>
      </c>
      <c r="O158" s="39" t="str">
        <f aca="false">IF(OR(K158="",K158=0),"",M158/K158)</f>
        <v/>
      </c>
      <c r="P158" s="37"/>
      <c r="Q158" s="37"/>
      <c r="R158" s="37"/>
      <c r="S158" s="37"/>
      <c r="T158" s="37"/>
      <c r="U158" s="37"/>
      <c r="V158" s="37"/>
      <c r="W158" s="37"/>
      <c r="X158" s="37"/>
    </row>
    <row r="159" customFormat="false" ht="21.75" hidden="false" customHeight="true" outlineLevel="0" collapsed="false">
      <c r="A159" s="42"/>
      <c r="B159" s="42"/>
      <c r="C159" s="42"/>
      <c r="D159" s="42"/>
      <c r="E159" s="42"/>
      <c r="F159" s="42"/>
      <c r="G159" s="42"/>
      <c r="H159" s="42"/>
      <c r="I159" s="42"/>
      <c r="J159" s="43" t="str">
        <f aca="false">IF(I159="","",ROUND(I159/1.2,2))</f>
        <v/>
      </c>
      <c r="K159" s="42"/>
      <c r="L159" s="43" t="str">
        <f aca="false">IF(OR(I159="",K159=""),"",I159-K159)</f>
        <v/>
      </c>
      <c r="M159" s="43" t="str">
        <f aca="false">IF(L159="","",L159-N159)</f>
        <v/>
      </c>
      <c r="N159" s="45" t="str">
        <f aca="false">IF(L159="","",ROUND(L159/6,2))</f>
        <v/>
      </c>
      <c r="O159" s="44" t="str">
        <f aca="false">IF(OR(K159="",K159=0),"",M159/K159)</f>
        <v/>
      </c>
      <c r="P159" s="42"/>
      <c r="Q159" s="42"/>
      <c r="R159" s="42"/>
      <c r="S159" s="42"/>
      <c r="T159" s="42"/>
      <c r="U159" s="42"/>
      <c r="V159" s="42"/>
      <c r="W159" s="42"/>
      <c r="X159" s="42"/>
    </row>
    <row r="160" customFormat="false" ht="21.75" hidden="false" customHeight="true" outlineLevel="0" collapsed="false">
      <c r="A160" s="37"/>
      <c r="B160" s="37"/>
      <c r="C160" s="37"/>
      <c r="D160" s="37"/>
      <c r="E160" s="37"/>
      <c r="F160" s="37"/>
      <c r="G160" s="37"/>
      <c r="H160" s="37"/>
      <c r="I160" s="37"/>
      <c r="J160" s="38" t="str">
        <f aca="false">IF(I160="","",ROUND(I160/1.2,2))</f>
        <v/>
      </c>
      <c r="K160" s="37"/>
      <c r="L160" s="38" t="str">
        <f aca="false">IF(OR(I160="",K160=""),"",I160-K160)</f>
        <v/>
      </c>
      <c r="M160" s="38" t="str">
        <f aca="false">IF(L160="","",L160-N160)</f>
        <v/>
      </c>
      <c r="N160" s="40" t="str">
        <f aca="false">IF(L160="","",ROUND(L160/6,2))</f>
        <v/>
      </c>
      <c r="O160" s="39" t="str">
        <f aca="false">IF(OR(K160="",K160=0),"",M160/K160)</f>
        <v/>
      </c>
      <c r="P160" s="37"/>
      <c r="Q160" s="37"/>
      <c r="R160" s="37"/>
      <c r="S160" s="37"/>
      <c r="T160" s="37"/>
      <c r="U160" s="37"/>
      <c r="V160" s="37"/>
      <c r="W160" s="37"/>
      <c r="X160" s="37"/>
    </row>
    <row r="161" customFormat="false" ht="21.75" hidden="false" customHeight="true" outlineLevel="0" collapsed="false">
      <c r="A161" s="42"/>
      <c r="B161" s="42"/>
      <c r="C161" s="42"/>
      <c r="D161" s="42"/>
      <c r="E161" s="42"/>
      <c r="F161" s="42"/>
      <c r="G161" s="42"/>
      <c r="H161" s="42"/>
      <c r="I161" s="42"/>
      <c r="J161" s="43" t="str">
        <f aca="false">IF(I161="","",ROUND(I161/1.2,2))</f>
        <v/>
      </c>
      <c r="K161" s="42"/>
      <c r="L161" s="43" t="str">
        <f aca="false">IF(OR(I161="",K161=""),"",I161-K161)</f>
        <v/>
      </c>
      <c r="M161" s="43" t="str">
        <f aca="false">IF(L161="","",L161-N161)</f>
        <v/>
      </c>
      <c r="N161" s="45" t="str">
        <f aca="false">IF(L161="","",ROUND(L161/6,2))</f>
        <v/>
      </c>
      <c r="O161" s="44" t="str">
        <f aca="false">IF(OR(K161="",K161=0),"",M161/K161)</f>
        <v/>
      </c>
      <c r="P161" s="42"/>
      <c r="Q161" s="42"/>
      <c r="R161" s="42"/>
      <c r="S161" s="42"/>
      <c r="T161" s="42"/>
      <c r="U161" s="42"/>
      <c r="V161" s="42"/>
      <c r="W161" s="42"/>
      <c r="X161" s="42"/>
    </row>
    <row r="162" customFormat="false" ht="21.75" hidden="false" customHeight="true" outlineLevel="0" collapsed="false">
      <c r="A162" s="37"/>
      <c r="B162" s="37"/>
      <c r="C162" s="37"/>
      <c r="D162" s="37"/>
      <c r="E162" s="37"/>
      <c r="F162" s="37"/>
      <c r="G162" s="37"/>
      <c r="H162" s="37"/>
      <c r="I162" s="37"/>
      <c r="J162" s="38" t="str">
        <f aca="false">IF(I162="","",ROUND(I162/1.2,2))</f>
        <v/>
      </c>
      <c r="K162" s="37"/>
      <c r="L162" s="38" t="str">
        <f aca="false">IF(OR(I162="",K162=""),"",I162-K162)</f>
        <v/>
      </c>
      <c r="M162" s="38" t="str">
        <f aca="false">IF(L162="","",L162-N162)</f>
        <v/>
      </c>
      <c r="N162" s="40" t="str">
        <f aca="false">IF(L162="","",ROUND(L162/6,2))</f>
        <v/>
      </c>
      <c r="O162" s="39" t="str">
        <f aca="false">IF(OR(K162="",K162=0),"",M162/K162)</f>
        <v/>
      </c>
      <c r="P162" s="37"/>
      <c r="Q162" s="37"/>
      <c r="R162" s="37"/>
      <c r="S162" s="37"/>
      <c r="T162" s="37"/>
      <c r="U162" s="37"/>
      <c r="V162" s="37"/>
      <c r="W162" s="37"/>
      <c r="X162" s="37"/>
    </row>
    <row r="163" customFormat="false" ht="21.75" hidden="false" customHeight="true" outlineLevel="0" collapsed="false">
      <c r="A163" s="42"/>
      <c r="B163" s="42"/>
      <c r="C163" s="42"/>
      <c r="D163" s="42"/>
      <c r="E163" s="42"/>
      <c r="F163" s="42"/>
      <c r="G163" s="42"/>
      <c r="H163" s="42"/>
      <c r="I163" s="42"/>
      <c r="J163" s="43" t="str">
        <f aca="false">IF(I163="","",ROUND(I163/1.2,2))</f>
        <v/>
      </c>
      <c r="K163" s="42"/>
      <c r="L163" s="43" t="str">
        <f aca="false">IF(OR(I163="",K163=""),"",I163-K163)</f>
        <v/>
      </c>
      <c r="M163" s="43" t="str">
        <f aca="false">IF(L163="","",L163-N163)</f>
        <v/>
      </c>
      <c r="N163" s="45" t="str">
        <f aca="false">IF(L163="","",ROUND(L163/6,2))</f>
        <v/>
      </c>
      <c r="O163" s="44" t="str">
        <f aca="false">IF(OR(K163="",K163=0),"",M163/K163)</f>
        <v/>
      </c>
      <c r="P163" s="42"/>
      <c r="Q163" s="42"/>
      <c r="R163" s="42"/>
      <c r="S163" s="42"/>
      <c r="T163" s="42"/>
      <c r="U163" s="42"/>
      <c r="V163" s="42"/>
      <c r="W163" s="42"/>
      <c r="X163" s="42"/>
    </row>
    <row r="164" customFormat="false" ht="21.75" hidden="false" customHeight="true" outlineLevel="0" collapsed="false">
      <c r="A164" s="37"/>
      <c r="B164" s="37"/>
      <c r="C164" s="37"/>
      <c r="D164" s="37"/>
      <c r="E164" s="37"/>
      <c r="F164" s="37"/>
      <c r="G164" s="37"/>
      <c r="H164" s="37"/>
      <c r="I164" s="37"/>
      <c r="J164" s="38" t="str">
        <f aca="false">IF(I164="","",ROUND(I164/1.2,2))</f>
        <v/>
      </c>
      <c r="K164" s="37"/>
      <c r="L164" s="38" t="str">
        <f aca="false">IF(OR(I164="",K164=""),"",I164-K164)</f>
        <v/>
      </c>
      <c r="M164" s="38" t="str">
        <f aca="false">IF(L164="","",L164-N164)</f>
        <v/>
      </c>
      <c r="N164" s="40" t="str">
        <f aca="false">IF(L164="","",ROUND(L164/6,2))</f>
        <v/>
      </c>
      <c r="O164" s="39" t="str">
        <f aca="false">IF(OR(K164="",K164=0),"",M164/K164)</f>
        <v/>
      </c>
      <c r="P164" s="37"/>
      <c r="Q164" s="37"/>
      <c r="R164" s="37"/>
      <c r="S164" s="37"/>
      <c r="T164" s="37"/>
      <c r="U164" s="37"/>
      <c r="V164" s="37"/>
      <c r="W164" s="37"/>
      <c r="X164" s="37"/>
    </row>
    <row r="165" customFormat="false" ht="21.75" hidden="false" customHeight="true" outlineLevel="0" collapsed="false">
      <c r="A165" s="42"/>
      <c r="B165" s="42"/>
      <c r="C165" s="42"/>
      <c r="D165" s="42"/>
      <c r="E165" s="42"/>
      <c r="F165" s="42"/>
      <c r="G165" s="42"/>
      <c r="H165" s="42"/>
      <c r="I165" s="42"/>
      <c r="J165" s="43" t="str">
        <f aca="false">IF(I165="","",ROUND(I165/1.2,2))</f>
        <v/>
      </c>
      <c r="K165" s="42"/>
      <c r="L165" s="43" t="str">
        <f aca="false">IF(OR(I165="",K165=""),"",I165-K165)</f>
        <v/>
      </c>
      <c r="M165" s="43" t="str">
        <f aca="false">IF(L165="","",L165-N165)</f>
        <v/>
      </c>
      <c r="N165" s="45" t="str">
        <f aca="false">IF(L165="","",ROUND(L165/6,2))</f>
        <v/>
      </c>
      <c r="O165" s="44" t="str">
        <f aca="false">IF(OR(K165="",K165=0),"",M165/K165)</f>
        <v/>
      </c>
      <c r="P165" s="42"/>
      <c r="Q165" s="42"/>
      <c r="R165" s="42"/>
      <c r="S165" s="42"/>
      <c r="T165" s="42"/>
      <c r="U165" s="42"/>
      <c r="V165" s="42"/>
      <c r="W165" s="42"/>
      <c r="X165" s="42"/>
    </row>
    <row r="166" customFormat="false" ht="21.75" hidden="false" customHeight="true" outlineLevel="0" collapsed="false">
      <c r="A166" s="37"/>
      <c r="B166" s="37"/>
      <c r="C166" s="37"/>
      <c r="D166" s="37"/>
      <c r="E166" s="37"/>
      <c r="F166" s="37"/>
      <c r="G166" s="37"/>
      <c r="H166" s="37"/>
      <c r="I166" s="37"/>
      <c r="J166" s="38" t="str">
        <f aca="false">IF(I166="","",ROUND(I166/1.2,2))</f>
        <v/>
      </c>
      <c r="K166" s="37"/>
      <c r="L166" s="38" t="str">
        <f aca="false">IF(OR(I166="",K166=""),"",I166-K166)</f>
        <v/>
      </c>
      <c r="M166" s="38" t="str">
        <f aca="false">IF(L166="","",L166-N166)</f>
        <v/>
      </c>
      <c r="N166" s="40" t="str">
        <f aca="false">IF(L166="","",ROUND(L166/6,2))</f>
        <v/>
      </c>
      <c r="O166" s="39" t="str">
        <f aca="false">IF(OR(K166="",K166=0),"",M166/K166)</f>
        <v/>
      </c>
      <c r="P166" s="37"/>
      <c r="Q166" s="37"/>
      <c r="R166" s="37"/>
      <c r="S166" s="37"/>
      <c r="T166" s="37"/>
      <c r="U166" s="37"/>
      <c r="V166" s="37"/>
      <c r="W166" s="37"/>
      <c r="X166" s="37"/>
    </row>
    <row r="167" customFormat="false" ht="21.75" hidden="false" customHeight="true" outlineLevel="0" collapsed="false">
      <c r="A167" s="42"/>
      <c r="B167" s="42"/>
      <c r="C167" s="42"/>
      <c r="D167" s="42"/>
      <c r="E167" s="42"/>
      <c r="F167" s="42"/>
      <c r="G167" s="42"/>
      <c r="H167" s="42"/>
      <c r="I167" s="42"/>
      <c r="J167" s="43" t="str">
        <f aca="false">IF(I167="","",ROUND(I167/1.2,2))</f>
        <v/>
      </c>
      <c r="K167" s="42"/>
      <c r="L167" s="43" t="str">
        <f aca="false">IF(OR(I167="",K167=""),"",I167-K167)</f>
        <v/>
      </c>
      <c r="M167" s="43" t="str">
        <f aca="false">IF(L167="","",L167-N167)</f>
        <v/>
      </c>
      <c r="N167" s="45" t="str">
        <f aca="false">IF(L167="","",ROUND(L167/6,2))</f>
        <v/>
      </c>
      <c r="O167" s="44" t="str">
        <f aca="false">IF(OR(K167="",K167=0),"",M167/K167)</f>
        <v/>
      </c>
      <c r="P167" s="42"/>
      <c r="Q167" s="42"/>
      <c r="R167" s="42"/>
      <c r="S167" s="42"/>
      <c r="T167" s="42"/>
      <c r="U167" s="42"/>
      <c r="V167" s="42"/>
      <c r="W167" s="42"/>
      <c r="X167" s="42"/>
    </row>
    <row r="168" customFormat="false" ht="21.75" hidden="false" customHeight="true" outlineLevel="0" collapsed="false">
      <c r="A168" s="37"/>
      <c r="B168" s="37"/>
      <c r="C168" s="37"/>
      <c r="D168" s="37"/>
      <c r="E168" s="37"/>
      <c r="F168" s="37"/>
      <c r="G168" s="37"/>
      <c r="H168" s="37"/>
      <c r="I168" s="37"/>
      <c r="J168" s="38" t="str">
        <f aca="false">IF(I168="","",ROUND(I168/1.2,2))</f>
        <v/>
      </c>
      <c r="K168" s="37"/>
      <c r="L168" s="38" t="str">
        <f aca="false">IF(OR(I168="",K168=""),"",I168-K168)</f>
        <v/>
      </c>
      <c r="M168" s="38" t="str">
        <f aca="false">IF(L168="","",L168-N168)</f>
        <v/>
      </c>
      <c r="N168" s="40" t="str">
        <f aca="false">IF(L168="","",ROUND(L168/6,2))</f>
        <v/>
      </c>
      <c r="O168" s="39" t="str">
        <f aca="false">IF(OR(K168="",K168=0),"",M168/K168)</f>
        <v/>
      </c>
      <c r="P168" s="37"/>
      <c r="Q168" s="37"/>
      <c r="R168" s="37"/>
      <c r="S168" s="37"/>
      <c r="T168" s="37"/>
      <c r="U168" s="37"/>
      <c r="V168" s="37"/>
      <c r="W168" s="37"/>
      <c r="X168" s="37"/>
    </row>
    <row r="169" customFormat="false" ht="21.75" hidden="false" customHeight="true" outlineLevel="0" collapsed="false">
      <c r="A169" s="42"/>
      <c r="B169" s="42"/>
      <c r="C169" s="42"/>
      <c r="D169" s="42"/>
      <c r="E169" s="42"/>
      <c r="F169" s="42"/>
      <c r="G169" s="42"/>
      <c r="H169" s="42"/>
      <c r="I169" s="42"/>
      <c r="J169" s="43" t="str">
        <f aca="false">IF(I169="","",ROUND(I169/1.2,2))</f>
        <v/>
      </c>
      <c r="K169" s="42"/>
      <c r="L169" s="43" t="str">
        <f aca="false">IF(OR(I169="",K169=""),"",I169-K169)</f>
        <v/>
      </c>
      <c r="M169" s="43" t="str">
        <f aca="false">IF(L169="","",L169-N169)</f>
        <v/>
      </c>
      <c r="N169" s="45" t="str">
        <f aca="false">IF(L169="","",ROUND(L169/6,2))</f>
        <v/>
      </c>
      <c r="O169" s="44" t="str">
        <f aca="false">IF(OR(K169="",K169=0),"",M169/K169)</f>
        <v/>
      </c>
      <c r="P169" s="42"/>
      <c r="Q169" s="42"/>
      <c r="R169" s="42"/>
      <c r="S169" s="42"/>
      <c r="T169" s="42"/>
      <c r="U169" s="42"/>
      <c r="V169" s="42"/>
      <c r="W169" s="42"/>
      <c r="X169" s="42"/>
    </row>
    <row r="170" customFormat="false" ht="21.75" hidden="false" customHeight="true" outlineLevel="0" collapsed="false">
      <c r="A170" s="37"/>
      <c r="B170" s="37"/>
      <c r="C170" s="37"/>
      <c r="D170" s="37"/>
      <c r="E170" s="37"/>
      <c r="F170" s="37"/>
      <c r="G170" s="37"/>
      <c r="H170" s="37"/>
      <c r="I170" s="37"/>
      <c r="J170" s="38" t="str">
        <f aca="false">IF(I170="","",ROUND(I170/1.2,2))</f>
        <v/>
      </c>
      <c r="K170" s="37"/>
      <c r="L170" s="38" t="str">
        <f aca="false">IF(OR(I170="",K170=""),"",I170-K170)</f>
        <v/>
      </c>
      <c r="M170" s="38" t="str">
        <f aca="false">IF(L170="","",L170-N170)</f>
        <v/>
      </c>
      <c r="N170" s="40" t="str">
        <f aca="false">IF(L170="","",ROUND(L170/6,2))</f>
        <v/>
      </c>
      <c r="O170" s="39" t="str">
        <f aca="false">IF(OR(K170="",K170=0),"",M170/K170)</f>
        <v/>
      </c>
      <c r="P170" s="37"/>
      <c r="Q170" s="37"/>
      <c r="R170" s="37"/>
      <c r="S170" s="37"/>
      <c r="T170" s="37"/>
      <c r="U170" s="37"/>
      <c r="V170" s="37"/>
      <c r="W170" s="37"/>
      <c r="X170" s="37"/>
    </row>
    <row r="171" customFormat="false" ht="21.75" hidden="false" customHeight="true" outlineLevel="0" collapsed="false">
      <c r="A171" s="42"/>
      <c r="B171" s="42"/>
      <c r="C171" s="42"/>
      <c r="D171" s="42"/>
      <c r="E171" s="42"/>
      <c r="F171" s="42"/>
      <c r="G171" s="42"/>
      <c r="H171" s="42"/>
      <c r="I171" s="42"/>
      <c r="J171" s="43" t="str">
        <f aca="false">IF(I171="","",ROUND(I171/1.2,2))</f>
        <v/>
      </c>
      <c r="K171" s="42"/>
      <c r="L171" s="43" t="str">
        <f aca="false">IF(OR(I171="",K171=""),"",I171-K171)</f>
        <v/>
      </c>
      <c r="M171" s="43" t="str">
        <f aca="false">IF(L171="","",L171-N171)</f>
        <v/>
      </c>
      <c r="N171" s="45" t="str">
        <f aca="false">IF(L171="","",ROUND(L171/6,2))</f>
        <v/>
      </c>
      <c r="O171" s="44" t="str">
        <f aca="false">IF(OR(K171="",K171=0),"",M171/K171)</f>
        <v/>
      </c>
      <c r="P171" s="42"/>
      <c r="Q171" s="42"/>
      <c r="R171" s="42"/>
      <c r="S171" s="42"/>
      <c r="T171" s="42"/>
      <c r="U171" s="42"/>
      <c r="V171" s="42"/>
      <c r="W171" s="42"/>
      <c r="X171" s="42"/>
    </row>
    <row r="172" customFormat="false" ht="21.75" hidden="false" customHeight="true" outlineLevel="0" collapsed="false">
      <c r="A172" s="37"/>
      <c r="B172" s="37"/>
      <c r="C172" s="37"/>
      <c r="D172" s="37"/>
      <c r="E172" s="37"/>
      <c r="F172" s="37"/>
      <c r="G172" s="37"/>
      <c r="H172" s="37"/>
      <c r="I172" s="37"/>
      <c r="J172" s="38" t="str">
        <f aca="false">IF(I172="","",ROUND(I172/1.2,2))</f>
        <v/>
      </c>
      <c r="K172" s="37"/>
      <c r="L172" s="38" t="str">
        <f aca="false">IF(OR(I172="",K172=""),"",I172-K172)</f>
        <v/>
      </c>
      <c r="M172" s="38" t="str">
        <f aca="false">IF(L172="","",L172-N172)</f>
        <v/>
      </c>
      <c r="N172" s="40" t="str">
        <f aca="false">IF(L172="","",ROUND(L172/6,2))</f>
        <v/>
      </c>
      <c r="O172" s="39" t="str">
        <f aca="false">IF(OR(K172="",K172=0),"",M172/K172)</f>
        <v/>
      </c>
      <c r="P172" s="37"/>
      <c r="Q172" s="37"/>
      <c r="R172" s="37"/>
      <c r="S172" s="37"/>
      <c r="T172" s="37"/>
      <c r="U172" s="37"/>
      <c r="V172" s="37"/>
      <c r="W172" s="37"/>
      <c r="X172" s="37"/>
    </row>
    <row r="173" customFormat="false" ht="21.75" hidden="false" customHeight="true" outlineLevel="0" collapsed="false">
      <c r="A173" s="42"/>
      <c r="B173" s="42"/>
      <c r="C173" s="42"/>
      <c r="D173" s="42"/>
      <c r="E173" s="42"/>
      <c r="F173" s="42"/>
      <c r="G173" s="42"/>
      <c r="H173" s="42"/>
      <c r="I173" s="42"/>
      <c r="J173" s="43" t="str">
        <f aca="false">IF(I173="","",ROUND(I173/1.2,2))</f>
        <v/>
      </c>
      <c r="K173" s="42"/>
      <c r="L173" s="43" t="str">
        <f aca="false">IF(OR(I173="",K173=""),"",I173-K173)</f>
        <v/>
      </c>
      <c r="M173" s="43" t="str">
        <f aca="false">IF(L173="","",L173-N173)</f>
        <v/>
      </c>
      <c r="N173" s="45" t="str">
        <f aca="false">IF(L173="","",ROUND(L173/6,2))</f>
        <v/>
      </c>
      <c r="O173" s="44" t="str">
        <f aca="false">IF(OR(K173="",K173=0),"",M173/K173)</f>
        <v/>
      </c>
      <c r="P173" s="42"/>
      <c r="Q173" s="42"/>
      <c r="R173" s="42"/>
      <c r="S173" s="42"/>
      <c r="T173" s="42"/>
      <c r="U173" s="42"/>
      <c r="V173" s="42"/>
      <c r="W173" s="42"/>
      <c r="X173" s="42"/>
    </row>
    <row r="174" customFormat="false" ht="21.75" hidden="false" customHeight="true" outlineLevel="0" collapsed="false">
      <c r="A174" s="37"/>
      <c r="B174" s="37"/>
      <c r="C174" s="37"/>
      <c r="D174" s="37"/>
      <c r="E174" s="37"/>
      <c r="F174" s="37"/>
      <c r="G174" s="37"/>
      <c r="H174" s="37"/>
      <c r="I174" s="37"/>
      <c r="J174" s="38" t="str">
        <f aca="false">IF(I174="","",ROUND(I174/1.2,2))</f>
        <v/>
      </c>
      <c r="K174" s="37"/>
      <c r="L174" s="38" t="str">
        <f aca="false">IF(OR(I174="",K174=""),"",I174-K174)</f>
        <v/>
      </c>
      <c r="M174" s="38" t="str">
        <f aca="false">IF(L174="","",L174-N174)</f>
        <v/>
      </c>
      <c r="N174" s="40" t="str">
        <f aca="false">IF(L174="","",ROUND(L174/6,2))</f>
        <v/>
      </c>
      <c r="O174" s="39" t="str">
        <f aca="false">IF(OR(K174="",K174=0),"",M174/K174)</f>
        <v/>
      </c>
      <c r="P174" s="37"/>
      <c r="Q174" s="37"/>
      <c r="R174" s="37"/>
      <c r="S174" s="37"/>
      <c r="T174" s="37"/>
      <c r="U174" s="37"/>
      <c r="V174" s="37"/>
      <c r="W174" s="37"/>
      <c r="X174" s="37"/>
    </row>
    <row r="175" customFormat="false" ht="21.75" hidden="false" customHeight="true" outlineLevel="0" collapsed="false">
      <c r="A175" s="42"/>
      <c r="B175" s="42"/>
      <c r="C175" s="42"/>
      <c r="D175" s="42"/>
      <c r="E175" s="42"/>
      <c r="F175" s="42"/>
      <c r="G175" s="42"/>
      <c r="H175" s="42"/>
      <c r="I175" s="42"/>
      <c r="J175" s="43" t="str">
        <f aca="false">IF(I175="","",ROUND(I175/1.2,2))</f>
        <v/>
      </c>
      <c r="K175" s="42"/>
      <c r="L175" s="43" t="str">
        <f aca="false">IF(OR(I175="",K175=""),"",I175-K175)</f>
        <v/>
      </c>
      <c r="M175" s="43" t="str">
        <f aca="false">IF(L175="","",L175-N175)</f>
        <v/>
      </c>
      <c r="N175" s="45" t="str">
        <f aca="false">IF(L175="","",ROUND(L175/6,2))</f>
        <v/>
      </c>
      <c r="O175" s="44" t="str">
        <f aca="false">IF(OR(K175="",K175=0),"",M175/K175)</f>
        <v/>
      </c>
      <c r="P175" s="42"/>
      <c r="Q175" s="42"/>
      <c r="R175" s="42"/>
      <c r="S175" s="42"/>
      <c r="T175" s="42"/>
      <c r="U175" s="42"/>
      <c r="V175" s="42"/>
      <c r="W175" s="42"/>
      <c r="X175" s="42"/>
    </row>
    <row r="176" customFormat="false" ht="21.75" hidden="false" customHeight="true" outlineLevel="0" collapsed="false">
      <c r="A176" s="37"/>
      <c r="B176" s="37"/>
      <c r="C176" s="37"/>
      <c r="D176" s="37"/>
      <c r="E176" s="37"/>
      <c r="F176" s="37"/>
      <c r="G176" s="37"/>
      <c r="H176" s="37"/>
      <c r="I176" s="37"/>
      <c r="J176" s="38" t="str">
        <f aca="false">IF(I176="","",ROUND(I176/1.2,2))</f>
        <v/>
      </c>
      <c r="K176" s="37"/>
      <c r="L176" s="38" t="str">
        <f aca="false">IF(OR(I176="",K176=""),"",I176-K176)</f>
        <v/>
      </c>
      <c r="M176" s="38" t="str">
        <f aca="false">IF(L176="","",L176-N176)</f>
        <v/>
      </c>
      <c r="N176" s="40" t="str">
        <f aca="false">IF(L176="","",ROUND(L176/6,2))</f>
        <v/>
      </c>
      <c r="O176" s="39" t="str">
        <f aca="false">IF(OR(K176="",K176=0),"",M176/K176)</f>
        <v/>
      </c>
      <c r="P176" s="37"/>
      <c r="Q176" s="37"/>
      <c r="R176" s="37"/>
      <c r="S176" s="37"/>
      <c r="T176" s="37"/>
      <c r="U176" s="37"/>
      <c r="V176" s="37"/>
      <c r="W176" s="37"/>
      <c r="X176" s="37"/>
    </row>
    <row r="177" customFormat="false" ht="21.75" hidden="false" customHeight="true" outlineLevel="0" collapsed="false">
      <c r="A177" s="42"/>
      <c r="B177" s="42"/>
      <c r="C177" s="42"/>
      <c r="D177" s="42"/>
      <c r="E177" s="42"/>
      <c r="F177" s="42"/>
      <c r="G177" s="42"/>
      <c r="H177" s="42"/>
      <c r="I177" s="42"/>
      <c r="J177" s="43" t="str">
        <f aca="false">IF(I177="","",ROUND(I177/1.2,2))</f>
        <v/>
      </c>
      <c r="K177" s="42"/>
      <c r="L177" s="43" t="str">
        <f aca="false">IF(OR(I177="",K177=""),"",I177-K177)</f>
        <v/>
      </c>
      <c r="M177" s="43" t="str">
        <f aca="false">IF(L177="","",L177-N177)</f>
        <v/>
      </c>
      <c r="N177" s="45" t="str">
        <f aca="false">IF(L177="","",ROUND(L177/6,2))</f>
        <v/>
      </c>
      <c r="O177" s="44" t="str">
        <f aca="false">IF(OR(K177="",K177=0),"",M177/K177)</f>
        <v/>
      </c>
      <c r="P177" s="42"/>
      <c r="Q177" s="42"/>
      <c r="R177" s="42"/>
      <c r="S177" s="42"/>
      <c r="T177" s="42"/>
      <c r="U177" s="42"/>
      <c r="V177" s="42"/>
      <c r="W177" s="42"/>
      <c r="X177" s="42"/>
    </row>
    <row r="178" customFormat="false" ht="21.75" hidden="false" customHeight="true" outlineLevel="0" collapsed="false">
      <c r="A178" s="37"/>
      <c r="B178" s="37"/>
      <c r="C178" s="37"/>
      <c r="D178" s="37"/>
      <c r="E178" s="37"/>
      <c r="F178" s="37"/>
      <c r="G178" s="37"/>
      <c r="H178" s="37"/>
      <c r="I178" s="37"/>
      <c r="J178" s="38" t="str">
        <f aca="false">IF(I178="","",ROUND(I178/1.2,2))</f>
        <v/>
      </c>
      <c r="K178" s="37"/>
      <c r="L178" s="38" t="str">
        <f aca="false">IF(OR(I178="",K178=""),"",I178-K178)</f>
        <v/>
      </c>
      <c r="M178" s="38" t="str">
        <f aca="false">IF(L178="","",L178-N178)</f>
        <v/>
      </c>
      <c r="N178" s="40" t="str">
        <f aca="false">IF(L178="","",ROUND(L178/6,2))</f>
        <v/>
      </c>
      <c r="O178" s="39" t="str">
        <f aca="false">IF(OR(K178="",K178=0),"",M178/K178)</f>
        <v/>
      </c>
      <c r="P178" s="37"/>
      <c r="Q178" s="37"/>
      <c r="R178" s="37"/>
      <c r="S178" s="37"/>
      <c r="T178" s="37"/>
      <c r="U178" s="37"/>
      <c r="V178" s="37"/>
      <c r="W178" s="37"/>
      <c r="X178" s="37"/>
    </row>
    <row r="179" customFormat="false" ht="21.75" hidden="false" customHeight="true" outlineLevel="0" collapsed="false">
      <c r="A179" s="42"/>
      <c r="B179" s="42"/>
      <c r="C179" s="42"/>
      <c r="D179" s="42"/>
      <c r="E179" s="42"/>
      <c r="F179" s="42"/>
      <c r="G179" s="42"/>
      <c r="H179" s="42"/>
      <c r="I179" s="42"/>
      <c r="J179" s="43" t="str">
        <f aca="false">IF(I179="","",ROUND(I179/1.2,2))</f>
        <v/>
      </c>
      <c r="K179" s="42"/>
      <c r="L179" s="43" t="str">
        <f aca="false">IF(OR(I179="",K179=""),"",I179-K179)</f>
        <v/>
      </c>
      <c r="M179" s="43" t="str">
        <f aca="false">IF(L179="","",L179-N179)</f>
        <v/>
      </c>
      <c r="N179" s="45" t="str">
        <f aca="false">IF(L179="","",ROUND(L179/6,2))</f>
        <v/>
      </c>
      <c r="O179" s="44" t="str">
        <f aca="false">IF(OR(K179="",K179=0),"",M179/K179)</f>
        <v/>
      </c>
      <c r="P179" s="42"/>
      <c r="Q179" s="42"/>
      <c r="R179" s="42"/>
      <c r="S179" s="42"/>
      <c r="T179" s="42"/>
      <c r="U179" s="42"/>
      <c r="V179" s="42"/>
      <c r="W179" s="42"/>
      <c r="X179" s="42"/>
    </row>
    <row r="180" customFormat="false" ht="21.75" hidden="false" customHeight="true" outlineLevel="0" collapsed="false">
      <c r="A180" s="37"/>
      <c r="B180" s="37"/>
      <c r="C180" s="37"/>
      <c r="D180" s="37"/>
      <c r="E180" s="37"/>
      <c r="F180" s="37"/>
      <c r="G180" s="37"/>
      <c r="H180" s="37"/>
      <c r="I180" s="37"/>
      <c r="J180" s="38" t="str">
        <f aca="false">IF(I180="","",ROUND(I180/1.2,2))</f>
        <v/>
      </c>
      <c r="K180" s="37"/>
      <c r="L180" s="38" t="str">
        <f aca="false">IF(OR(I180="",K180=""),"",I180-K180)</f>
        <v/>
      </c>
      <c r="M180" s="38" t="str">
        <f aca="false">IF(L180="","",L180-N180)</f>
        <v/>
      </c>
      <c r="N180" s="40" t="str">
        <f aca="false">IF(L180="","",ROUND(L180/6,2))</f>
        <v/>
      </c>
      <c r="O180" s="39" t="str">
        <f aca="false">IF(OR(K180="",K180=0),"",M180/K180)</f>
        <v/>
      </c>
      <c r="P180" s="37"/>
      <c r="Q180" s="37"/>
      <c r="R180" s="37"/>
      <c r="S180" s="37"/>
      <c r="T180" s="37"/>
      <c r="U180" s="37"/>
      <c r="V180" s="37"/>
      <c r="W180" s="37"/>
      <c r="X180" s="37"/>
    </row>
    <row r="181" customFormat="false" ht="21.75" hidden="false" customHeight="true" outlineLevel="0" collapsed="false">
      <c r="A181" s="42"/>
      <c r="B181" s="42"/>
      <c r="C181" s="42"/>
      <c r="D181" s="42"/>
      <c r="E181" s="42"/>
      <c r="F181" s="42"/>
      <c r="G181" s="42"/>
      <c r="H181" s="42"/>
      <c r="I181" s="42"/>
      <c r="J181" s="43" t="str">
        <f aca="false">IF(I181="","",ROUND(I181/1.2,2))</f>
        <v/>
      </c>
      <c r="K181" s="42"/>
      <c r="L181" s="43" t="str">
        <f aca="false">IF(OR(I181="",K181=""),"",I181-K181)</f>
        <v/>
      </c>
      <c r="M181" s="43" t="str">
        <f aca="false">IF(L181="","",L181-N181)</f>
        <v/>
      </c>
      <c r="N181" s="45" t="str">
        <f aca="false">IF(L181="","",ROUND(L181/6,2))</f>
        <v/>
      </c>
      <c r="O181" s="44" t="str">
        <f aca="false">IF(OR(K181="",K181=0),"",M181/K181)</f>
        <v/>
      </c>
      <c r="P181" s="42"/>
      <c r="Q181" s="42"/>
      <c r="R181" s="42"/>
      <c r="S181" s="42"/>
      <c r="T181" s="42"/>
      <c r="U181" s="42"/>
      <c r="V181" s="42"/>
      <c r="W181" s="42"/>
      <c r="X181" s="42"/>
    </row>
    <row r="182" customFormat="false" ht="21.75" hidden="false" customHeight="true" outlineLevel="0" collapsed="false">
      <c r="A182" s="37"/>
      <c r="B182" s="37"/>
      <c r="C182" s="37"/>
      <c r="D182" s="37"/>
      <c r="E182" s="37"/>
      <c r="F182" s="37"/>
      <c r="G182" s="37"/>
      <c r="H182" s="37"/>
      <c r="I182" s="37"/>
      <c r="J182" s="38" t="str">
        <f aca="false">IF(I182="","",ROUND(I182/1.2,2))</f>
        <v/>
      </c>
      <c r="K182" s="37"/>
      <c r="L182" s="38" t="str">
        <f aca="false">IF(OR(I182="",K182=""),"",I182-K182)</f>
        <v/>
      </c>
      <c r="M182" s="38" t="str">
        <f aca="false">IF(L182="","",L182-N182)</f>
        <v/>
      </c>
      <c r="N182" s="40" t="str">
        <f aca="false">IF(L182="","",ROUND(L182/6,2))</f>
        <v/>
      </c>
      <c r="O182" s="39" t="str">
        <f aca="false">IF(OR(K182="",K182=0),"",M182/K182)</f>
        <v/>
      </c>
      <c r="P182" s="37"/>
      <c r="Q182" s="37"/>
      <c r="R182" s="37"/>
      <c r="S182" s="37"/>
      <c r="T182" s="37"/>
      <c r="U182" s="37"/>
      <c r="V182" s="37"/>
      <c r="W182" s="37"/>
      <c r="X182" s="37"/>
    </row>
    <row r="183" customFormat="false" ht="21.75" hidden="false" customHeight="true" outlineLevel="0" collapsed="false">
      <c r="A183" s="42"/>
      <c r="B183" s="42"/>
      <c r="C183" s="42"/>
      <c r="D183" s="42"/>
      <c r="E183" s="42"/>
      <c r="F183" s="42"/>
      <c r="G183" s="42"/>
      <c r="H183" s="42"/>
      <c r="I183" s="42"/>
      <c r="J183" s="43" t="str">
        <f aca="false">IF(I183="","",ROUND(I183/1.2,2))</f>
        <v/>
      </c>
      <c r="K183" s="42"/>
      <c r="L183" s="43" t="str">
        <f aca="false">IF(OR(I183="",K183=""),"",I183-K183)</f>
        <v/>
      </c>
      <c r="M183" s="43" t="str">
        <f aca="false">IF(L183="","",L183-N183)</f>
        <v/>
      </c>
      <c r="N183" s="45" t="str">
        <f aca="false">IF(L183="","",ROUND(L183/6,2))</f>
        <v/>
      </c>
      <c r="O183" s="44" t="str">
        <f aca="false">IF(OR(K183="",K183=0),"",M183/K183)</f>
        <v/>
      </c>
      <c r="P183" s="42"/>
      <c r="Q183" s="42"/>
      <c r="R183" s="42"/>
      <c r="S183" s="42"/>
      <c r="T183" s="42"/>
      <c r="U183" s="42"/>
      <c r="V183" s="42"/>
      <c r="W183" s="42"/>
      <c r="X183" s="42"/>
    </row>
    <row r="184" customFormat="false" ht="21.75" hidden="false" customHeight="true" outlineLevel="0" collapsed="false">
      <c r="A184" s="37"/>
      <c r="B184" s="37"/>
      <c r="C184" s="37"/>
      <c r="D184" s="37"/>
      <c r="E184" s="37"/>
      <c r="F184" s="37"/>
      <c r="G184" s="37"/>
      <c r="H184" s="37"/>
      <c r="I184" s="37"/>
      <c r="J184" s="38" t="str">
        <f aca="false">IF(I184="","",ROUND(I184/1.2,2))</f>
        <v/>
      </c>
      <c r="K184" s="37"/>
      <c r="L184" s="38" t="str">
        <f aca="false">IF(OR(I184="",K184=""),"",I184-K184)</f>
        <v/>
      </c>
      <c r="M184" s="38" t="str">
        <f aca="false">IF(L184="","",L184-N184)</f>
        <v/>
      </c>
      <c r="N184" s="40" t="str">
        <f aca="false">IF(L184="","",ROUND(L184/6,2))</f>
        <v/>
      </c>
      <c r="O184" s="39" t="str">
        <f aca="false">IF(OR(K184="",K184=0),"",M184/K184)</f>
        <v/>
      </c>
      <c r="P184" s="37"/>
      <c r="Q184" s="37"/>
      <c r="R184" s="37"/>
      <c r="S184" s="37"/>
      <c r="T184" s="37"/>
      <c r="U184" s="37"/>
      <c r="V184" s="37"/>
      <c r="W184" s="37"/>
      <c r="X184" s="37"/>
    </row>
    <row r="185" customFormat="false" ht="21.75" hidden="false" customHeight="true" outlineLevel="0" collapsed="false">
      <c r="A185" s="42"/>
      <c r="B185" s="42"/>
      <c r="C185" s="42"/>
      <c r="D185" s="42"/>
      <c r="E185" s="42"/>
      <c r="F185" s="42"/>
      <c r="G185" s="42"/>
      <c r="H185" s="42"/>
      <c r="I185" s="42"/>
      <c r="J185" s="43" t="str">
        <f aca="false">IF(I185="","",ROUND(I185/1.2,2))</f>
        <v/>
      </c>
      <c r="K185" s="42"/>
      <c r="L185" s="43" t="str">
        <f aca="false">IF(OR(I185="",K185=""),"",I185-K185)</f>
        <v/>
      </c>
      <c r="M185" s="43" t="str">
        <f aca="false">IF(L185="","",L185-N185)</f>
        <v/>
      </c>
      <c r="N185" s="45" t="str">
        <f aca="false">IF(L185="","",ROUND(L185/6,2))</f>
        <v/>
      </c>
      <c r="O185" s="44" t="str">
        <f aca="false">IF(OR(K185="",K185=0),"",M185/K185)</f>
        <v/>
      </c>
      <c r="P185" s="42"/>
      <c r="Q185" s="42"/>
      <c r="R185" s="42"/>
      <c r="S185" s="42"/>
      <c r="T185" s="42"/>
      <c r="U185" s="42"/>
      <c r="V185" s="42"/>
      <c r="W185" s="42"/>
      <c r="X185" s="42"/>
    </row>
    <row r="186" customFormat="false" ht="21.75" hidden="false" customHeight="true" outlineLevel="0" collapsed="false">
      <c r="A186" s="37"/>
      <c r="B186" s="37"/>
      <c r="C186" s="37"/>
      <c r="D186" s="37"/>
      <c r="E186" s="37"/>
      <c r="F186" s="37"/>
      <c r="G186" s="37"/>
      <c r="H186" s="37"/>
      <c r="I186" s="37"/>
      <c r="J186" s="38" t="str">
        <f aca="false">IF(I186="","",ROUND(I186/1.2,2))</f>
        <v/>
      </c>
      <c r="K186" s="37"/>
      <c r="L186" s="38" t="str">
        <f aca="false">IF(OR(I186="",K186=""),"",I186-K186)</f>
        <v/>
      </c>
      <c r="M186" s="38" t="str">
        <f aca="false">IF(L186="","",L186-N186)</f>
        <v/>
      </c>
      <c r="N186" s="40" t="str">
        <f aca="false">IF(L186="","",ROUND(L186/6,2))</f>
        <v/>
      </c>
      <c r="O186" s="39" t="str">
        <f aca="false">IF(OR(K186="",K186=0),"",M186/K186)</f>
        <v/>
      </c>
      <c r="P186" s="37"/>
      <c r="Q186" s="37"/>
      <c r="R186" s="37"/>
      <c r="S186" s="37"/>
      <c r="T186" s="37"/>
      <c r="U186" s="37"/>
      <c r="V186" s="37"/>
      <c r="W186" s="37"/>
      <c r="X186" s="37"/>
    </row>
    <row r="187" customFormat="false" ht="21.75" hidden="false" customHeight="true" outlineLevel="0" collapsed="false">
      <c r="A187" s="42"/>
      <c r="B187" s="42"/>
      <c r="C187" s="42"/>
      <c r="D187" s="42"/>
      <c r="E187" s="42"/>
      <c r="F187" s="42"/>
      <c r="G187" s="42"/>
      <c r="H187" s="42"/>
      <c r="I187" s="42"/>
      <c r="J187" s="43" t="str">
        <f aca="false">IF(I187="","",ROUND(I187/1.2,2))</f>
        <v/>
      </c>
      <c r="K187" s="42"/>
      <c r="L187" s="43" t="str">
        <f aca="false">IF(OR(I187="",K187=""),"",I187-K187)</f>
        <v/>
      </c>
      <c r="M187" s="43" t="str">
        <f aca="false">IF(L187="","",L187-N187)</f>
        <v/>
      </c>
      <c r="N187" s="45" t="str">
        <f aca="false">IF(L187="","",ROUND(L187/6,2))</f>
        <v/>
      </c>
      <c r="O187" s="44" t="str">
        <f aca="false">IF(OR(K187="",K187=0),"",M187/K187)</f>
        <v/>
      </c>
      <c r="P187" s="42"/>
      <c r="Q187" s="42"/>
      <c r="R187" s="42"/>
      <c r="S187" s="42"/>
      <c r="T187" s="42"/>
      <c r="U187" s="42"/>
      <c r="V187" s="42"/>
      <c r="W187" s="42"/>
      <c r="X187" s="42"/>
    </row>
    <row r="188" customFormat="false" ht="21.75" hidden="false" customHeight="true" outlineLevel="0" collapsed="false">
      <c r="A188" s="37"/>
      <c r="B188" s="37"/>
      <c r="C188" s="37"/>
      <c r="D188" s="37"/>
      <c r="E188" s="37"/>
      <c r="F188" s="37"/>
      <c r="G188" s="37"/>
      <c r="H188" s="37"/>
      <c r="I188" s="37"/>
      <c r="J188" s="38" t="str">
        <f aca="false">IF(I188="","",ROUND(I188/1.2,2))</f>
        <v/>
      </c>
      <c r="K188" s="37"/>
      <c r="L188" s="38" t="str">
        <f aca="false">IF(OR(I188="",K188=""),"",I188-K188)</f>
        <v/>
      </c>
      <c r="M188" s="38" t="str">
        <f aca="false">IF(L188="","",L188-N188)</f>
        <v/>
      </c>
      <c r="N188" s="40" t="str">
        <f aca="false">IF(L188="","",ROUND(L188/6,2))</f>
        <v/>
      </c>
      <c r="O188" s="39" t="str">
        <f aca="false">IF(OR(K188="",K188=0),"",M188/K188)</f>
        <v/>
      </c>
      <c r="P188" s="37"/>
      <c r="Q188" s="37"/>
      <c r="R188" s="37"/>
      <c r="S188" s="37"/>
      <c r="T188" s="37"/>
      <c r="U188" s="37"/>
      <c r="V188" s="37"/>
      <c r="W188" s="37"/>
      <c r="X188" s="37"/>
    </row>
    <row r="189" customFormat="false" ht="21.75" hidden="false" customHeight="true" outlineLevel="0" collapsed="false">
      <c r="A189" s="42"/>
      <c r="B189" s="42"/>
      <c r="C189" s="42"/>
      <c r="D189" s="42"/>
      <c r="E189" s="42"/>
      <c r="F189" s="42"/>
      <c r="G189" s="42"/>
      <c r="H189" s="42"/>
      <c r="I189" s="42"/>
      <c r="J189" s="43" t="str">
        <f aca="false">IF(I189="","",ROUND(I189/1.2,2))</f>
        <v/>
      </c>
      <c r="K189" s="42"/>
      <c r="L189" s="43" t="str">
        <f aca="false">IF(OR(I189="",K189=""),"",I189-K189)</f>
        <v/>
      </c>
      <c r="M189" s="43" t="str">
        <f aca="false">IF(L189="","",L189-N189)</f>
        <v/>
      </c>
      <c r="N189" s="45" t="str">
        <f aca="false">IF(L189="","",ROUND(L189/6,2))</f>
        <v/>
      </c>
      <c r="O189" s="44" t="str">
        <f aca="false">IF(OR(K189="",K189=0),"",M189/K189)</f>
        <v/>
      </c>
      <c r="P189" s="42"/>
      <c r="Q189" s="42"/>
      <c r="R189" s="42"/>
      <c r="S189" s="42"/>
      <c r="T189" s="42"/>
      <c r="U189" s="42"/>
      <c r="V189" s="42"/>
      <c r="W189" s="42"/>
      <c r="X189" s="42"/>
    </row>
    <row r="190" customFormat="false" ht="21.75" hidden="false" customHeight="true" outlineLevel="0" collapsed="false">
      <c r="A190" s="37"/>
      <c r="B190" s="37"/>
      <c r="C190" s="37"/>
      <c r="D190" s="37"/>
      <c r="E190" s="37"/>
      <c r="F190" s="37"/>
      <c r="G190" s="37"/>
      <c r="H190" s="37"/>
      <c r="I190" s="37"/>
      <c r="J190" s="38" t="str">
        <f aca="false">IF(I190="","",ROUND(I190/1.2,2))</f>
        <v/>
      </c>
      <c r="K190" s="37"/>
      <c r="L190" s="38" t="str">
        <f aca="false">IF(OR(I190="",K190=""),"",I190-K190)</f>
        <v/>
      </c>
      <c r="M190" s="38" t="str">
        <f aca="false">IF(L190="","",L190-N190)</f>
        <v/>
      </c>
      <c r="N190" s="40" t="str">
        <f aca="false">IF(L190="","",ROUND(L190/6,2))</f>
        <v/>
      </c>
      <c r="O190" s="39" t="str">
        <f aca="false">IF(OR(K190="",K190=0),"",M190/K190)</f>
        <v/>
      </c>
      <c r="P190" s="37"/>
      <c r="Q190" s="37"/>
      <c r="R190" s="37"/>
      <c r="S190" s="37"/>
      <c r="T190" s="37"/>
      <c r="U190" s="37"/>
      <c r="V190" s="37"/>
      <c r="W190" s="37"/>
      <c r="X190" s="37"/>
    </row>
    <row r="191" customFormat="false" ht="21.75" hidden="false" customHeight="true" outlineLevel="0" collapsed="false">
      <c r="A191" s="42"/>
      <c r="B191" s="42"/>
      <c r="C191" s="42"/>
      <c r="D191" s="42"/>
      <c r="E191" s="42"/>
      <c r="F191" s="42"/>
      <c r="G191" s="42"/>
      <c r="H191" s="42"/>
      <c r="I191" s="42"/>
      <c r="J191" s="43" t="str">
        <f aca="false">IF(I191="","",ROUND(I191/1.2,2))</f>
        <v/>
      </c>
      <c r="K191" s="42"/>
      <c r="L191" s="43" t="str">
        <f aca="false">IF(OR(I191="",K191=""),"",I191-K191)</f>
        <v/>
      </c>
      <c r="M191" s="43" t="str">
        <f aca="false">IF(L191="","",L191-N191)</f>
        <v/>
      </c>
      <c r="N191" s="45" t="str">
        <f aca="false">IF(L191="","",ROUND(L191/6,2))</f>
        <v/>
      </c>
      <c r="O191" s="44" t="str">
        <f aca="false">IF(OR(K191="",K191=0),"",M191/K191)</f>
        <v/>
      </c>
      <c r="P191" s="42"/>
      <c r="Q191" s="42"/>
      <c r="R191" s="42"/>
      <c r="S191" s="42"/>
      <c r="T191" s="42"/>
      <c r="U191" s="42"/>
      <c r="V191" s="42"/>
      <c r="W191" s="42"/>
      <c r="X191" s="42"/>
    </row>
    <row r="192" customFormat="false" ht="21.75" hidden="false" customHeight="true" outlineLevel="0" collapsed="false">
      <c r="A192" s="37"/>
      <c r="B192" s="37"/>
      <c r="C192" s="37"/>
      <c r="D192" s="37"/>
      <c r="E192" s="37"/>
      <c r="F192" s="37"/>
      <c r="G192" s="37"/>
      <c r="H192" s="37"/>
      <c r="I192" s="37"/>
      <c r="J192" s="38" t="str">
        <f aca="false">IF(I192="","",ROUND(I192/1.2,2))</f>
        <v/>
      </c>
      <c r="K192" s="37"/>
      <c r="L192" s="38" t="str">
        <f aca="false">IF(OR(I192="",K192=""),"",I192-K192)</f>
        <v/>
      </c>
      <c r="M192" s="38" t="str">
        <f aca="false">IF(L192="","",L192-N192)</f>
        <v/>
      </c>
      <c r="N192" s="40" t="str">
        <f aca="false">IF(L192="","",ROUND(L192/6,2))</f>
        <v/>
      </c>
      <c r="O192" s="39" t="str">
        <f aca="false">IF(OR(K192="",K192=0),"",M192/K192)</f>
        <v/>
      </c>
      <c r="P192" s="37"/>
      <c r="Q192" s="37"/>
      <c r="R192" s="37"/>
      <c r="S192" s="37"/>
      <c r="T192" s="37"/>
      <c r="U192" s="37"/>
      <c r="V192" s="37"/>
      <c r="W192" s="37"/>
      <c r="X192" s="37"/>
    </row>
    <row r="193" customFormat="false" ht="21.75" hidden="false" customHeight="true" outlineLevel="0" collapsed="false">
      <c r="A193" s="42"/>
      <c r="B193" s="42"/>
      <c r="C193" s="42"/>
      <c r="D193" s="42"/>
      <c r="E193" s="42"/>
      <c r="F193" s="42"/>
      <c r="G193" s="42"/>
      <c r="H193" s="42"/>
      <c r="I193" s="42"/>
      <c r="J193" s="43" t="str">
        <f aca="false">IF(I193="","",ROUND(I193/1.2,2))</f>
        <v/>
      </c>
      <c r="K193" s="42"/>
      <c r="L193" s="43" t="str">
        <f aca="false">IF(OR(I193="",K193=""),"",I193-K193)</f>
        <v/>
      </c>
      <c r="M193" s="43" t="str">
        <f aca="false">IF(L193="","",L193-N193)</f>
        <v/>
      </c>
      <c r="N193" s="45" t="str">
        <f aca="false">IF(L193="","",ROUND(L193/6,2))</f>
        <v/>
      </c>
      <c r="O193" s="44" t="str">
        <f aca="false">IF(OR(K193="",K193=0),"",M193/K193)</f>
        <v/>
      </c>
      <c r="P193" s="42"/>
      <c r="Q193" s="42"/>
      <c r="R193" s="42"/>
      <c r="S193" s="42"/>
      <c r="T193" s="42"/>
      <c r="U193" s="42"/>
      <c r="V193" s="42"/>
      <c r="W193" s="42"/>
      <c r="X193" s="42"/>
    </row>
    <row r="194" customFormat="false" ht="21.75" hidden="false" customHeight="true" outlineLevel="0" collapsed="false">
      <c r="A194" s="37"/>
      <c r="B194" s="37"/>
      <c r="C194" s="37"/>
      <c r="D194" s="37"/>
      <c r="E194" s="37"/>
      <c r="F194" s="37"/>
      <c r="G194" s="37"/>
      <c r="H194" s="37"/>
      <c r="I194" s="37"/>
      <c r="J194" s="38" t="str">
        <f aca="false">IF(I194="","",ROUND(I194/1.2,2))</f>
        <v/>
      </c>
      <c r="K194" s="37"/>
      <c r="L194" s="38" t="str">
        <f aca="false">IF(OR(I194="",K194=""),"",I194-K194)</f>
        <v/>
      </c>
      <c r="M194" s="38" t="str">
        <f aca="false">IF(L194="","",L194-N194)</f>
        <v/>
      </c>
      <c r="N194" s="40" t="str">
        <f aca="false">IF(L194="","",ROUND(L194/6,2))</f>
        <v/>
      </c>
      <c r="O194" s="39" t="str">
        <f aca="false">IF(OR(K194="",K194=0),"",M194/K194)</f>
        <v/>
      </c>
      <c r="P194" s="37"/>
      <c r="Q194" s="37"/>
      <c r="R194" s="37"/>
      <c r="S194" s="37"/>
      <c r="T194" s="37"/>
      <c r="U194" s="37"/>
      <c r="V194" s="37"/>
      <c r="W194" s="37"/>
      <c r="X194" s="37"/>
    </row>
    <row r="195" customFormat="false" ht="21.75" hidden="false" customHeight="true" outlineLevel="0" collapsed="false">
      <c r="A195" s="42"/>
      <c r="B195" s="42"/>
      <c r="C195" s="42"/>
      <c r="D195" s="42"/>
      <c r="E195" s="42"/>
      <c r="F195" s="42"/>
      <c r="G195" s="42"/>
      <c r="H195" s="42"/>
      <c r="I195" s="42"/>
      <c r="J195" s="43" t="str">
        <f aca="false">IF(I195="","",ROUND(I195/1.2,2))</f>
        <v/>
      </c>
      <c r="K195" s="42"/>
      <c r="L195" s="43" t="str">
        <f aca="false">IF(OR(I195="",K195=""),"",I195-K195)</f>
        <v/>
      </c>
      <c r="M195" s="43" t="str">
        <f aca="false">IF(L195="","",L195-N195)</f>
        <v/>
      </c>
      <c r="N195" s="45" t="str">
        <f aca="false">IF(L195="","",ROUND(L195/6,2))</f>
        <v/>
      </c>
      <c r="O195" s="44" t="str">
        <f aca="false">IF(OR(K195="",K195=0),"",M195/K195)</f>
        <v/>
      </c>
      <c r="P195" s="42"/>
      <c r="Q195" s="42"/>
      <c r="R195" s="42"/>
      <c r="S195" s="42"/>
      <c r="T195" s="42"/>
      <c r="U195" s="42"/>
      <c r="V195" s="42"/>
      <c r="W195" s="42"/>
      <c r="X195" s="42"/>
    </row>
    <row r="196" customFormat="false" ht="21.75" hidden="false" customHeight="true" outlineLevel="0" collapsed="false">
      <c r="A196" s="37"/>
      <c r="B196" s="37"/>
      <c r="C196" s="37"/>
      <c r="D196" s="37"/>
      <c r="E196" s="37"/>
      <c r="F196" s="37"/>
      <c r="G196" s="37"/>
      <c r="H196" s="37"/>
      <c r="I196" s="37"/>
      <c r="J196" s="38" t="str">
        <f aca="false">IF(I196="","",ROUND(I196/1.2,2))</f>
        <v/>
      </c>
      <c r="K196" s="37"/>
      <c r="L196" s="38" t="str">
        <f aca="false">IF(OR(I196="",K196=""),"",I196-K196)</f>
        <v/>
      </c>
      <c r="M196" s="38" t="str">
        <f aca="false">IF(L196="","",L196-N196)</f>
        <v/>
      </c>
      <c r="N196" s="40" t="str">
        <f aca="false">IF(L196="","",ROUND(L196/6,2))</f>
        <v/>
      </c>
      <c r="O196" s="39" t="str">
        <f aca="false">IF(OR(K196="",K196=0),"",M196/K196)</f>
        <v/>
      </c>
      <c r="P196" s="37"/>
      <c r="Q196" s="37"/>
      <c r="R196" s="37"/>
      <c r="S196" s="37"/>
      <c r="T196" s="37"/>
      <c r="U196" s="37"/>
      <c r="V196" s="37"/>
      <c r="W196" s="37"/>
      <c r="X196" s="37"/>
    </row>
    <row r="197" customFormat="false" ht="21.75" hidden="false" customHeight="true" outlineLevel="0" collapsed="false">
      <c r="A197" s="42"/>
      <c r="B197" s="42"/>
      <c r="C197" s="42"/>
      <c r="D197" s="42"/>
      <c r="E197" s="42"/>
      <c r="F197" s="42"/>
      <c r="G197" s="42"/>
      <c r="H197" s="42"/>
      <c r="I197" s="42"/>
      <c r="J197" s="43" t="str">
        <f aca="false">IF(I197="","",ROUND(I197/1.2,2))</f>
        <v/>
      </c>
      <c r="K197" s="42"/>
      <c r="L197" s="43" t="str">
        <f aca="false">IF(OR(I197="",K197=""),"",I197-K197)</f>
        <v/>
      </c>
      <c r="M197" s="43" t="str">
        <f aca="false">IF(L197="","",L197-N197)</f>
        <v/>
      </c>
      <c r="N197" s="45" t="str">
        <f aca="false">IF(L197="","",ROUND(L197/6,2))</f>
        <v/>
      </c>
      <c r="O197" s="44" t="str">
        <f aca="false">IF(OR(K197="",K197=0),"",M197/K197)</f>
        <v/>
      </c>
      <c r="P197" s="42"/>
      <c r="Q197" s="42"/>
      <c r="R197" s="42"/>
      <c r="S197" s="42"/>
      <c r="T197" s="42"/>
      <c r="U197" s="42"/>
      <c r="V197" s="42"/>
      <c r="W197" s="42"/>
      <c r="X197" s="42"/>
    </row>
    <row r="198" customFormat="false" ht="21.75" hidden="false" customHeight="true" outlineLevel="0" collapsed="false">
      <c r="A198" s="37"/>
      <c r="B198" s="37"/>
      <c r="C198" s="37"/>
      <c r="D198" s="37"/>
      <c r="E198" s="37"/>
      <c r="F198" s="37"/>
      <c r="G198" s="37"/>
      <c r="H198" s="37"/>
      <c r="I198" s="37"/>
      <c r="J198" s="38" t="str">
        <f aca="false">IF(I198="","",ROUND(I198/1.2,2))</f>
        <v/>
      </c>
      <c r="K198" s="37"/>
      <c r="L198" s="38" t="str">
        <f aca="false">IF(OR(I198="",K198=""),"",I198-K198)</f>
        <v/>
      </c>
      <c r="M198" s="38" t="str">
        <f aca="false">IF(L198="","",L198-N198)</f>
        <v/>
      </c>
      <c r="N198" s="40" t="str">
        <f aca="false">IF(L198="","",ROUND(L198/6,2))</f>
        <v/>
      </c>
      <c r="O198" s="39" t="str">
        <f aca="false">IF(OR(K198="",K198=0),"",M198/K198)</f>
        <v/>
      </c>
      <c r="P198" s="37"/>
      <c r="Q198" s="37"/>
      <c r="R198" s="37"/>
      <c r="S198" s="37"/>
      <c r="T198" s="37"/>
      <c r="U198" s="37"/>
      <c r="V198" s="37"/>
      <c r="W198" s="37"/>
      <c r="X198" s="37"/>
    </row>
    <row r="199" customFormat="false" ht="21.75" hidden="false" customHeight="true" outlineLevel="0" collapsed="false">
      <c r="A199" s="42"/>
      <c r="B199" s="42"/>
      <c r="C199" s="42"/>
      <c r="D199" s="42"/>
      <c r="E199" s="42"/>
      <c r="F199" s="42"/>
      <c r="G199" s="42"/>
      <c r="H199" s="42"/>
      <c r="I199" s="42"/>
      <c r="J199" s="43" t="str">
        <f aca="false">IF(I199="","",ROUND(I199/1.2,2))</f>
        <v/>
      </c>
      <c r="K199" s="42"/>
      <c r="L199" s="43" t="str">
        <f aca="false">IF(OR(I199="",K199=""),"",I199-K199)</f>
        <v/>
      </c>
      <c r="M199" s="43" t="str">
        <f aca="false">IF(L199="","",L199-N199)</f>
        <v/>
      </c>
      <c r="N199" s="45" t="str">
        <f aca="false">IF(L199="","",ROUND(L199/6,2))</f>
        <v/>
      </c>
      <c r="O199" s="44" t="str">
        <f aca="false">IF(OR(K199="",K199=0),"",M199/K199)</f>
        <v/>
      </c>
      <c r="P199" s="42"/>
      <c r="Q199" s="42"/>
      <c r="R199" s="42"/>
      <c r="S199" s="42"/>
      <c r="T199" s="42"/>
      <c r="U199" s="42"/>
      <c r="V199" s="42"/>
      <c r="W199" s="42"/>
      <c r="X199" s="42"/>
    </row>
    <row r="200" customFormat="false" ht="21.75" hidden="false" customHeight="true" outlineLevel="0" collapsed="false">
      <c r="A200" s="37"/>
      <c r="B200" s="37"/>
      <c r="C200" s="37"/>
      <c r="D200" s="37"/>
      <c r="E200" s="37"/>
      <c r="F200" s="37"/>
      <c r="G200" s="37"/>
      <c r="H200" s="37"/>
      <c r="I200" s="37"/>
      <c r="J200" s="38" t="str">
        <f aca="false">IF(I200="","",ROUND(I200/1.2,2))</f>
        <v/>
      </c>
      <c r="K200" s="37"/>
      <c r="L200" s="38" t="str">
        <f aca="false">IF(OR(I200="",K200=""),"",I200-K200)</f>
        <v/>
      </c>
      <c r="M200" s="38" t="str">
        <f aca="false">IF(L200="","",L200-N200)</f>
        <v/>
      </c>
      <c r="N200" s="40" t="str">
        <f aca="false">IF(L200="","",ROUND(L200/6,2))</f>
        <v/>
      </c>
      <c r="O200" s="39" t="str">
        <f aca="false">IF(OR(K200="",K200=0),"",M200/K200)</f>
        <v/>
      </c>
      <c r="P200" s="37"/>
      <c r="Q200" s="37"/>
      <c r="R200" s="37"/>
      <c r="S200" s="37"/>
      <c r="T200" s="37"/>
      <c r="U200" s="37"/>
      <c r="V200" s="37"/>
      <c r="W200" s="37"/>
      <c r="X200" s="37"/>
    </row>
    <row r="201" customFormat="false" ht="21.75" hidden="false" customHeight="true" outlineLevel="0" collapsed="false">
      <c r="A201" s="42"/>
      <c r="B201" s="42"/>
      <c r="C201" s="42"/>
      <c r="D201" s="42"/>
      <c r="E201" s="42"/>
      <c r="F201" s="42"/>
      <c r="G201" s="42"/>
      <c r="H201" s="42"/>
      <c r="I201" s="42"/>
      <c r="J201" s="43" t="str">
        <f aca="false">IF(I201="","",ROUND(I201/1.2,2))</f>
        <v/>
      </c>
      <c r="K201" s="42"/>
      <c r="L201" s="43" t="str">
        <f aca="false">IF(OR(I201="",K201=""),"",I201-K201)</f>
        <v/>
      </c>
      <c r="M201" s="43" t="str">
        <f aca="false">IF(L201="","",L201-N201)</f>
        <v/>
      </c>
      <c r="N201" s="45" t="str">
        <f aca="false">IF(L201="","",ROUND(L201/6,2))</f>
        <v/>
      </c>
      <c r="O201" s="44" t="str">
        <f aca="false">IF(OR(K201="",K201=0),"",M201/K201)</f>
        <v/>
      </c>
      <c r="P201" s="42"/>
      <c r="Q201" s="42"/>
      <c r="R201" s="42"/>
      <c r="S201" s="42"/>
      <c r="T201" s="42"/>
      <c r="U201" s="42"/>
      <c r="V201" s="42"/>
      <c r="W201" s="42"/>
      <c r="X201" s="42"/>
    </row>
    <row r="202" customFormat="false" ht="21.75" hidden="false" customHeight="true" outlineLevel="0" collapsed="false">
      <c r="A202" s="37"/>
      <c r="B202" s="37"/>
      <c r="C202" s="37"/>
      <c r="D202" s="37"/>
      <c r="E202" s="37"/>
      <c r="F202" s="37"/>
      <c r="G202" s="37"/>
      <c r="H202" s="37"/>
      <c r="I202" s="37"/>
      <c r="J202" s="38" t="str">
        <f aca="false">IF(I202="","",ROUND(I202/1.2,2))</f>
        <v/>
      </c>
      <c r="K202" s="37"/>
      <c r="L202" s="38" t="str">
        <f aca="false">IF(OR(I202="",K202=""),"",I202-K202)</f>
        <v/>
      </c>
      <c r="M202" s="38" t="str">
        <f aca="false">IF(L202="","",L202-N202)</f>
        <v/>
      </c>
      <c r="N202" s="40" t="str">
        <f aca="false">IF(L202="","",ROUND(L202/6,2))</f>
        <v/>
      </c>
      <c r="O202" s="39" t="str">
        <f aca="false">IF(OR(K202="",K202=0),"",M202/K202)</f>
        <v/>
      </c>
      <c r="P202" s="37"/>
      <c r="Q202" s="37"/>
      <c r="R202" s="37"/>
      <c r="S202" s="37"/>
      <c r="T202" s="37"/>
      <c r="U202" s="37"/>
      <c r="V202" s="37"/>
      <c r="W202" s="37"/>
      <c r="X202" s="37"/>
    </row>
    <row r="203" customFormat="false" ht="21.75" hidden="false" customHeight="true" outlineLevel="0" collapsed="false">
      <c r="A203" s="42"/>
      <c r="B203" s="42"/>
      <c r="C203" s="42"/>
      <c r="D203" s="42"/>
      <c r="E203" s="42"/>
      <c r="F203" s="42"/>
      <c r="G203" s="42"/>
      <c r="H203" s="42"/>
      <c r="I203" s="42"/>
      <c r="J203" s="43" t="str">
        <f aca="false">IF(I203="","",ROUND(I203/1.2,2))</f>
        <v/>
      </c>
      <c r="K203" s="42"/>
      <c r="L203" s="43" t="str">
        <f aca="false">IF(OR(I203="",K203=""),"",I203-K203)</f>
        <v/>
      </c>
      <c r="M203" s="43" t="str">
        <f aca="false">IF(L203="","",L203-N203)</f>
        <v/>
      </c>
      <c r="N203" s="45" t="str">
        <f aca="false">IF(L203="","",ROUND(L203/6,2))</f>
        <v/>
      </c>
      <c r="O203" s="44" t="str">
        <f aca="false">IF(OR(K203="",K203=0),"",M203/K203)</f>
        <v/>
      </c>
      <c r="P203" s="42"/>
      <c r="Q203" s="42"/>
      <c r="R203" s="42"/>
      <c r="S203" s="42"/>
      <c r="T203" s="42"/>
      <c r="U203" s="42"/>
      <c r="V203" s="42"/>
      <c r="W203" s="42"/>
      <c r="X203" s="42"/>
    </row>
    <row r="204" customFormat="false" ht="21.75" hidden="false" customHeight="true" outlineLevel="0" collapsed="false">
      <c r="A204" s="37"/>
      <c r="B204" s="37"/>
      <c r="C204" s="37"/>
      <c r="D204" s="37"/>
      <c r="E204" s="37"/>
      <c r="F204" s="37"/>
      <c r="G204" s="37"/>
      <c r="H204" s="37"/>
      <c r="I204" s="37"/>
      <c r="J204" s="38" t="str">
        <f aca="false">IF(I204="","",ROUND(I204/1.2,2))</f>
        <v/>
      </c>
      <c r="K204" s="37"/>
      <c r="L204" s="38" t="str">
        <f aca="false">IF(OR(I204="",K204=""),"",I204-K204)</f>
        <v/>
      </c>
      <c r="M204" s="38" t="str">
        <f aca="false">IF(L204="","",L204-N204)</f>
        <v/>
      </c>
      <c r="N204" s="40" t="str">
        <f aca="false">IF(L204="","",ROUND(L204/6,2))</f>
        <v/>
      </c>
      <c r="O204" s="39" t="str">
        <f aca="false">IF(OR(K204="",K204=0),"",M204/K204)</f>
        <v/>
      </c>
      <c r="P204" s="37"/>
      <c r="Q204" s="37"/>
      <c r="R204" s="37"/>
      <c r="S204" s="37"/>
      <c r="T204" s="37"/>
      <c r="U204" s="37"/>
      <c r="V204" s="37"/>
      <c r="W204" s="37"/>
      <c r="X204" s="37"/>
    </row>
    <row r="205" customFormat="false" ht="21.75" hidden="false" customHeight="true" outlineLevel="0" collapsed="false">
      <c r="A205" s="42"/>
      <c r="B205" s="42"/>
      <c r="C205" s="42"/>
      <c r="D205" s="42"/>
      <c r="E205" s="42"/>
      <c r="F205" s="42"/>
      <c r="G205" s="42"/>
      <c r="H205" s="42"/>
      <c r="I205" s="42"/>
      <c r="J205" s="43" t="str">
        <f aca="false">IF(I205="","",ROUND(I205/1.2,2))</f>
        <v/>
      </c>
      <c r="K205" s="42"/>
      <c r="L205" s="43" t="str">
        <f aca="false">IF(OR(I205="",K205=""),"",I205-K205)</f>
        <v/>
      </c>
      <c r="M205" s="43" t="str">
        <f aca="false">IF(L205="","",L205-N205)</f>
        <v/>
      </c>
      <c r="N205" s="45" t="str">
        <f aca="false">IF(L205="","",ROUND(L205/6,2))</f>
        <v/>
      </c>
      <c r="O205" s="44" t="str">
        <f aca="false">IF(OR(K205="",K205=0),"",M205/K205)</f>
        <v/>
      </c>
      <c r="P205" s="42"/>
      <c r="Q205" s="42"/>
      <c r="R205" s="42"/>
      <c r="S205" s="42"/>
      <c r="T205" s="42"/>
      <c r="U205" s="42"/>
      <c r="V205" s="42"/>
      <c r="W205" s="42"/>
      <c r="X205" s="42"/>
    </row>
    <row r="206" customFormat="false" ht="21.75" hidden="false" customHeight="true" outlineLevel="0" collapsed="false">
      <c r="A206" s="37"/>
      <c r="B206" s="37"/>
      <c r="C206" s="37"/>
      <c r="D206" s="37"/>
      <c r="E206" s="37"/>
      <c r="F206" s="37"/>
      <c r="G206" s="37"/>
      <c r="H206" s="37"/>
      <c r="I206" s="37"/>
      <c r="J206" s="38" t="str">
        <f aca="false">IF(I206="","",ROUND(I206/1.2,2))</f>
        <v/>
      </c>
      <c r="K206" s="37"/>
      <c r="L206" s="38" t="str">
        <f aca="false">IF(OR(I206="",K206=""),"",I206-K206)</f>
        <v/>
      </c>
      <c r="M206" s="38" t="str">
        <f aca="false">IF(L206="","",L206-N206)</f>
        <v/>
      </c>
      <c r="N206" s="40" t="str">
        <f aca="false">IF(L206="","",ROUND(L206/6,2))</f>
        <v/>
      </c>
      <c r="O206" s="39" t="str">
        <f aca="false">IF(OR(K206="",K206=0),"",M206/K206)</f>
        <v/>
      </c>
      <c r="P206" s="37"/>
      <c r="Q206" s="37"/>
      <c r="R206" s="37"/>
      <c r="S206" s="37"/>
      <c r="T206" s="37"/>
      <c r="U206" s="37"/>
      <c r="V206" s="37"/>
      <c r="W206" s="37"/>
      <c r="X206" s="37"/>
    </row>
    <row r="207" customFormat="false" ht="21.75" hidden="false" customHeight="true" outlineLevel="0" collapsed="false">
      <c r="A207" s="42"/>
      <c r="B207" s="42"/>
      <c r="C207" s="42"/>
      <c r="D207" s="42"/>
      <c r="E207" s="42"/>
      <c r="F207" s="42"/>
      <c r="G207" s="42"/>
      <c r="H207" s="42"/>
      <c r="I207" s="42"/>
      <c r="J207" s="43" t="str">
        <f aca="false">IF(I207="","",ROUND(I207/1.2,2))</f>
        <v/>
      </c>
      <c r="K207" s="42"/>
      <c r="L207" s="43" t="str">
        <f aca="false">IF(OR(I207="",K207=""),"",I207-K207)</f>
        <v/>
      </c>
      <c r="M207" s="43" t="str">
        <f aca="false">IF(L207="","",L207-N207)</f>
        <v/>
      </c>
      <c r="N207" s="45" t="str">
        <f aca="false">IF(L207="","",ROUND(L207/6,2))</f>
        <v/>
      </c>
      <c r="O207" s="44" t="str">
        <f aca="false">IF(OR(K207="",K207=0),"",M207/K207)</f>
        <v/>
      </c>
      <c r="P207" s="42"/>
      <c r="Q207" s="42"/>
      <c r="R207" s="42"/>
      <c r="S207" s="42"/>
      <c r="T207" s="42"/>
      <c r="U207" s="42"/>
      <c r="V207" s="42"/>
      <c r="W207" s="42"/>
      <c r="X207" s="42"/>
    </row>
    <row r="208" customFormat="false" ht="21.75" hidden="false" customHeight="true" outlineLevel="0" collapsed="false">
      <c r="A208" s="37"/>
      <c r="B208" s="37"/>
      <c r="C208" s="37"/>
      <c r="D208" s="37"/>
      <c r="E208" s="37"/>
      <c r="F208" s="37"/>
      <c r="G208" s="37"/>
      <c r="H208" s="37"/>
      <c r="I208" s="37"/>
      <c r="J208" s="38" t="str">
        <f aca="false">IF(I208="","",ROUND(I208/1.2,2))</f>
        <v/>
      </c>
      <c r="K208" s="37"/>
      <c r="L208" s="38" t="str">
        <f aca="false">IF(OR(I208="",K208=""),"",I208-K208)</f>
        <v/>
      </c>
      <c r="M208" s="38" t="str">
        <f aca="false">IF(L208="","",L208-N208)</f>
        <v/>
      </c>
      <c r="N208" s="40" t="str">
        <f aca="false">IF(L208="","",ROUND(L208/6,2))</f>
        <v/>
      </c>
      <c r="O208" s="39" t="str">
        <f aca="false">IF(OR(K208="",K208=0),"",M208/K208)</f>
        <v/>
      </c>
      <c r="P208" s="37"/>
      <c r="Q208" s="37"/>
      <c r="R208" s="37"/>
      <c r="S208" s="37"/>
      <c r="T208" s="37"/>
      <c r="U208" s="37"/>
      <c r="V208" s="37"/>
      <c r="W208" s="37"/>
      <c r="X208" s="37"/>
    </row>
    <row r="209" customFormat="false" ht="21.75" hidden="false" customHeight="true" outlineLevel="0" collapsed="false">
      <c r="A209" s="42"/>
      <c r="B209" s="42"/>
      <c r="C209" s="42"/>
      <c r="D209" s="42"/>
      <c r="E209" s="42"/>
      <c r="F209" s="42"/>
      <c r="G209" s="42"/>
      <c r="H209" s="42"/>
      <c r="I209" s="42"/>
      <c r="J209" s="43" t="str">
        <f aca="false">IF(I209="","",ROUND(I209/1.2,2))</f>
        <v/>
      </c>
      <c r="K209" s="42"/>
      <c r="L209" s="43" t="str">
        <f aca="false">IF(OR(I209="",K209=""),"",I209-K209)</f>
        <v/>
      </c>
      <c r="M209" s="43" t="str">
        <f aca="false">IF(L209="","",L209-N209)</f>
        <v/>
      </c>
      <c r="N209" s="45" t="str">
        <f aca="false">IF(L209="","",ROUND(L209/6,2))</f>
        <v/>
      </c>
      <c r="O209" s="44" t="str">
        <f aca="false">IF(OR(K209="",K209=0),"",M209/K209)</f>
        <v/>
      </c>
      <c r="P209" s="42"/>
      <c r="Q209" s="42"/>
      <c r="R209" s="42"/>
      <c r="S209" s="42"/>
      <c r="T209" s="42"/>
      <c r="U209" s="42"/>
      <c r="V209" s="42"/>
      <c r="W209" s="42"/>
      <c r="X209" s="42"/>
    </row>
    <row r="210" customFormat="false" ht="21.75" hidden="false" customHeight="true" outlineLevel="0" collapsed="false">
      <c r="A210" s="37"/>
      <c r="B210" s="37"/>
      <c r="C210" s="37"/>
      <c r="D210" s="37"/>
      <c r="E210" s="37"/>
      <c r="F210" s="37"/>
      <c r="G210" s="37"/>
      <c r="H210" s="37"/>
      <c r="I210" s="37"/>
      <c r="J210" s="38" t="str">
        <f aca="false">IF(I210="","",ROUND(I210/1.2,2))</f>
        <v/>
      </c>
      <c r="K210" s="37"/>
      <c r="L210" s="38" t="str">
        <f aca="false">IF(OR(I210="",K210=""),"",I210-K210)</f>
        <v/>
      </c>
      <c r="M210" s="38" t="str">
        <f aca="false">IF(L210="","",L210-N210)</f>
        <v/>
      </c>
      <c r="N210" s="40" t="str">
        <f aca="false">IF(L210="","",ROUND(L210/6,2))</f>
        <v/>
      </c>
      <c r="O210" s="39" t="str">
        <f aca="false">IF(OR(K210="",K210=0),"",M210/K210)</f>
        <v/>
      </c>
      <c r="P210" s="37"/>
      <c r="Q210" s="37"/>
      <c r="R210" s="37"/>
      <c r="S210" s="37"/>
      <c r="T210" s="37"/>
      <c r="U210" s="37"/>
      <c r="V210" s="37"/>
      <c r="W210" s="37"/>
      <c r="X210" s="37"/>
    </row>
    <row r="211" customFormat="false" ht="21.75" hidden="false" customHeight="true" outlineLevel="0" collapsed="false">
      <c r="A211" s="42"/>
      <c r="B211" s="42"/>
      <c r="C211" s="42"/>
      <c r="D211" s="42"/>
      <c r="E211" s="42"/>
      <c r="F211" s="42"/>
      <c r="G211" s="42"/>
      <c r="H211" s="42"/>
      <c r="I211" s="42"/>
      <c r="J211" s="43" t="str">
        <f aca="false">IF(I211="","",ROUND(I211/1.2,2))</f>
        <v/>
      </c>
      <c r="K211" s="42"/>
      <c r="L211" s="43" t="str">
        <f aca="false">IF(OR(I211="",K211=""),"",I211-K211)</f>
        <v/>
      </c>
      <c r="M211" s="43" t="str">
        <f aca="false">IF(L211="","",L211-N211)</f>
        <v/>
      </c>
      <c r="N211" s="45" t="str">
        <f aca="false">IF(L211="","",ROUND(L211/6,2))</f>
        <v/>
      </c>
      <c r="O211" s="44" t="str">
        <f aca="false">IF(OR(K211="",K211=0),"",M211/K211)</f>
        <v/>
      </c>
      <c r="P211" s="42"/>
      <c r="Q211" s="42"/>
      <c r="R211" s="42"/>
      <c r="S211" s="42"/>
      <c r="T211" s="42"/>
      <c r="U211" s="42"/>
      <c r="V211" s="42"/>
      <c r="W211" s="42"/>
      <c r="X211" s="42"/>
    </row>
    <row r="212" customFormat="false" ht="21.75" hidden="false" customHeight="true" outlineLevel="0" collapsed="false">
      <c r="A212" s="37"/>
      <c r="B212" s="37"/>
      <c r="C212" s="37"/>
      <c r="D212" s="37"/>
      <c r="E212" s="37"/>
      <c r="F212" s="37"/>
      <c r="G212" s="37"/>
      <c r="H212" s="37"/>
      <c r="I212" s="37"/>
      <c r="J212" s="38" t="str">
        <f aca="false">IF(I212="","",ROUND(I212/1.2,2))</f>
        <v/>
      </c>
      <c r="K212" s="37"/>
      <c r="L212" s="38" t="str">
        <f aca="false">IF(OR(I212="",K212=""),"",I212-K212)</f>
        <v/>
      </c>
      <c r="M212" s="38" t="str">
        <f aca="false">IF(L212="","",L212-N212)</f>
        <v/>
      </c>
      <c r="N212" s="40" t="str">
        <f aca="false">IF(L212="","",ROUND(L212/6,2))</f>
        <v/>
      </c>
      <c r="O212" s="39" t="str">
        <f aca="false">IF(OR(K212="",K212=0),"",M212/K212)</f>
        <v/>
      </c>
      <c r="P212" s="37"/>
      <c r="Q212" s="37"/>
      <c r="R212" s="37"/>
      <c r="S212" s="37"/>
      <c r="T212" s="37"/>
      <c r="U212" s="37"/>
      <c r="V212" s="37"/>
      <c r="W212" s="37"/>
      <c r="X212" s="37"/>
    </row>
    <row r="213" customFormat="false" ht="21.75" hidden="false" customHeight="true" outlineLevel="0" collapsed="false">
      <c r="A213" s="42"/>
      <c r="B213" s="42"/>
      <c r="C213" s="42"/>
      <c r="D213" s="42"/>
      <c r="E213" s="42"/>
      <c r="F213" s="42"/>
      <c r="G213" s="42"/>
      <c r="H213" s="42"/>
      <c r="I213" s="42"/>
      <c r="J213" s="43" t="str">
        <f aca="false">IF(I213="","",ROUND(I213/1.2,2))</f>
        <v/>
      </c>
      <c r="K213" s="42"/>
      <c r="L213" s="43" t="str">
        <f aca="false">IF(OR(I213="",K213=""),"",I213-K213)</f>
        <v/>
      </c>
      <c r="M213" s="43" t="str">
        <f aca="false">IF(L213="","",L213-N213)</f>
        <v/>
      </c>
      <c r="N213" s="45" t="str">
        <f aca="false">IF(L213="","",ROUND(L213/6,2))</f>
        <v/>
      </c>
      <c r="O213" s="44" t="str">
        <f aca="false">IF(OR(K213="",K213=0),"",M213/K213)</f>
        <v/>
      </c>
      <c r="P213" s="42"/>
      <c r="Q213" s="42"/>
      <c r="R213" s="42"/>
      <c r="S213" s="42"/>
      <c r="T213" s="42"/>
      <c r="U213" s="42"/>
      <c r="V213" s="42"/>
      <c r="W213" s="42"/>
      <c r="X213" s="42"/>
    </row>
    <row r="214" customFormat="false" ht="21.75" hidden="false" customHeight="true" outlineLevel="0" collapsed="false">
      <c r="A214" s="37"/>
      <c r="B214" s="37"/>
      <c r="C214" s="37"/>
      <c r="D214" s="37"/>
      <c r="E214" s="37"/>
      <c r="F214" s="37"/>
      <c r="G214" s="37"/>
      <c r="H214" s="37"/>
      <c r="I214" s="37"/>
      <c r="J214" s="38" t="str">
        <f aca="false">IF(I214="","",ROUND(I214/1.2,2))</f>
        <v/>
      </c>
      <c r="K214" s="37"/>
      <c r="L214" s="38" t="str">
        <f aca="false">IF(OR(I214="",K214=""),"",I214-K214)</f>
        <v/>
      </c>
      <c r="M214" s="38" t="str">
        <f aca="false">IF(L214="","",L214-N214)</f>
        <v/>
      </c>
      <c r="N214" s="40" t="str">
        <f aca="false">IF(L214="","",ROUND(L214/6,2))</f>
        <v/>
      </c>
      <c r="O214" s="39" t="str">
        <f aca="false">IF(OR(K214="",K214=0),"",M214/K214)</f>
        <v/>
      </c>
      <c r="P214" s="37"/>
      <c r="Q214" s="37"/>
      <c r="R214" s="37"/>
      <c r="S214" s="37"/>
      <c r="T214" s="37"/>
      <c r="U214" s="37"/>
      <c r="V214" s="37"/>
      <c r="W214" s="37"/>
      <c r="X214" s="37"/>
    </row>
    <row r="215" customFormat="false" ht="21.75" hidden="false" customHeight="true" outlineLevel="0" collapsed="false">
      <c r="A215" s="42"/>
      <c r="B215" s="42"/>
      <c r="C215" s="42"/>
      <c r="D215" s="42"/>
      <c r="E215" s="42"/>
      <c r="F215" s="42"/>
      <c r="G215" s="42"/>
      <c r="H215" s="42"/>
      <c r="I215" s="42"/>
      <c r="J215" s="43" t="str">
        <f aca="false">IF(I215="","",ROUND(I215/1.2,2))</f>
        <v/>
      </c>
      <c r="K215" s="42"/>
      <c r="L215" s="43" t="str">
        <f aca="false">IF(OR(I215="",K215=""),"",I215-K215)</f>
        <v/>
      </c>
      <c r="M215" s="43" t="str">
        <f aca="false">IF(L215="","",L215-N215)</f>
        <v/>
      </c>
      <c r="N215" s="45" t="str">
        <f aca="false">IF(L215="","",ROUND(L215/6,2))</f>
        <v/>
      </c>
      <c r="O215" s="44" t="str">
        <f aca="false">IF(OR(K215="",K215=0),"",M215/K215)</f>
        <v/>
      </c>
      <c r="P215" s="42"/>
      <c r="Q215" s="42"/>
      <c r="R215" s="42"/>
      <c r="S215" s="42"/>
      <c r="T215" s="42"/>
      <c r="U215" s="42"/>
      <c r="V215" s="42"/>
      <c r="W215" s="42"/>
      <c r="X215" s="42"/>
    </row>
    <row r="216" customFormat="false" ht="21.75" hidden="false" customHeight="true" outlineLevel="0" collapsed="false">
      <c r="A216" s="37"/>
      <c r="B216" s="37"/>
      <c r="C216" s="37"/>
      <c r="D216" s="37"/>
      <c r="E216" s="37"/>
      <c r="F216" s="37"/>
      <c r="G216" s="37"/>
      <c r="H216" s="37"/>
      <c r="I216" s="37"/>
      <c r="J216" s="38" t="str">
        <f aca="false">IF(I216="","",ROUND(I216/1.2,2))</f>
        <v/>
      </c>
      <c r="K216" s="37"/>
      <c r="L216" s="38" t="str">
        <f aca="false">IF(OR(I216="",K216=""),"",I216-K216)</f>
        <v/>
      </c>
      <c r="M216" s="38" t="str">
        <f aca="false">IF(L216="","",L216-N216)</f>
        <v/>
      </c>
      <c r="N216" s="40" t="str">
        <f aca="false">IF(L216="","",ROUND(L216/6,2))</f>
        <v/>
      </c>
      <c r="O216" s="39" t="str">
        <f aca="false">IF(OR(K216="",K216=0),"",M216/K216)</f>
        <v/>
      </c>
      <c r="P216" s="37"/>
      <c r="Q216" s="37"/>
      <c r="R216" s="37"/>
      <c r="S216" s="37"/>
      <c r="T216" s="37"/>
      <c r="U216" s="37"/>
      <c r="V216" s="37"/>
      <c r="W216" s="37"/>
      <c r="X216" s="37"/>
    </row>
    <row r="217" customFormat="false" ht="21.75" hidden="false" customHeight="true" outlineLevel="0" collapsed="false">
      <c r="A217" s="42"/>
      <c r="B217" s="42"/>
      <c r="C217" s="42"/>
      <c r="D217" s="42"/>
      <c r="E217" s="42"/>
      <c r="F217" s="42"/>
      <c r="G217" s="42"/>
      <c r="H217" s="42"/>
      <c r="I217" s="42"/>
      <c r="J217" s="43" t="str">
        <f aca="false">IF(I217="","",ROUND(I217/1.2,2))</f>
        <v/>
      </c>
      <c r="K217" s="42"/>
      <c r="L217" s="43" t="str">
        <f aca="false">IF(OR(I217="",K217=""),"",I217-K217)</f>
        <v/>
      </c>
      <c r="M217" s="43" t="str">
        <f aca="false">IF(L217="","",L217-N217)</f>
        <v/>
      </c>
      <c r="N217" s="45" t="str">
        <f aca="false">IF(L217="","",ROUND(L217/6,2))</f>
        <v/>
      </c>
      <c r="O217" s="44" t="str">
        <f aca="false">IF(OR(K217="",K217=0),"",M217/K217)</f>
        <v/>
      </c>
      <c r="P217" s="42"/>
      <c r="Q217" s="42"/>
      <c r="R217" s="42"/>
      <c r="S217" s="42"/>
      <c r="T217" s="42"/>
      <c r="U217" s="42"/>
      <c r="V217" s="42"/>
      <c r="W217" s="42"/>
      <c r="X217" s="42"/>
    </row>
    <row r="218" customFormat="false" ht="21.75" hidden="false" customHeight="true" outlineLevel="0" collapsed="false">
      <c r="A218" s="37"/>
      <c r="B218" s="37"/>
      <c r="C218" s="37"/>
      <c r="D218" s="37"/>
      <c r="E218" s="37"/>
      <c r="F218" s="37"/>
      <c r="G218" s="37"/>
      <c r="H218" s="37"/>
      <c r="I218" s="37"/>
      <c r="J218" s="38" t="str">
        <f aca="false">IF(I218="","",ROUND(I218/1.2,2))</f>
        <v/>
      </c>
      <c r="K218" s="37"/>
      <c r="L218" s="38" t="str">
        <f aca="false">IF(OR(I218="",K218=""),"",I218-K218)</f>
        <v/>
      </c>
      <c r="M218" s="38" t="str">
        <f aca="false">IF(L218="","",L218-N218)</f>
        <v/>
      </c>
      <c r="N218" s="40" t="str">
        <f aca="false">IF(L218="","",ROUND(L218/6,2))</f>
        <v/>
      </c>
      <c r="O218" s="39" t="str">
        <f aca="false">IF(OR(K218="",K218=0),"",M218/K218)</f>
        <v/>
      </c>
      <c r="P218" s="37"/>
      <c r="Q218" s="37"/>
      <c r="R218" s="37"/>
      <c r="S218" s="37"/>
      <c r="T218" s="37"/>
      <c r="U218" s="37"/>
      <c r="V218" s="37"/>
      <c r="W218" s="37"/>
      <c r="X218" s="37"/>
    </row>
    <row r="219" customFormat="false" ht="21.75" hidden="false" customHeight="true" outlineLevel="0" collapsed="false">
      <c r="A219" s="42"/>
      <c r="B219" s="42"/>
      <c r="C219" s="42"/>
      <c r="D219" s="42"/>
      <c r="E219" s="42"/>
      <c r="F219" s="42"/>
      <c r="G219" s="42"/>
      <c r="H219" s="42"/>
      <c r="I219" s="42"/>
      <c r="J219" s="43" t="str">
        <f aca="false">IF(I219="","",ROUND(I219/1.2,2))</f>
        <v/>
      </c>
      <c r="K219" s="42"/>
      <c r="L219" s="43" t="str">
        <f aca="false">IF(OR(I219="",K219=""),"",I219-K219)</f>
        <v/>
      </c>
      <c r="M219" s="43" t="str">
        <f aca="false">IF(L219="","",L219-N219)</f>
        <v/>
      </c>
      <c r="N219" s="45" t="str">
        <f aca="false">IF(L219="","",ROUND(L219/6,2))</f>
        <v/>
      </c>
      <c r="O219" s="44" t="str">
        <f aca="false">IF(OR(K219="",K219=0),"",M219/K219)</f>
        <v/>
      </c>
      <c r="P219" s="42"/>
      <c r="Q219" s="42"/>
      <c r="R219" s="42"/>
      <c r="S219" s="42"/>
      <c r="T219" s="42"/>
      <c r="U219" s="42"/>
      <c r="V219" s="42"/>
      <c r="W219" s="42"/>
      <c r="X219" s="42"/>
    </row>
    <row r="220" customFormat="false" ht="21.75" hidden="false" customHeight="true" outlineLevel="0" collapsed="false">
      <c r="A220" s="37"/>
      <c r="B220" s="37"/>
      <c r="C220" s="37"/>
      <c r="D220" s="37"/>
      <c r="E220" s="37"/>
      <c r="F220" s="37"/>
      <c r="G220" s="37"/>
      <c r="H220" s="37"/>
      <c r="I220" s="37"/>
      <c r="J220" s="38" t="str">
        <f aca="false">IF(I220="","",ROUND(I220/1.2,2))</f>
        <v/>
      </c>
      <c r="K220" s="37"/>
      <c r="L220" s="38" t="str">
        <f aca="false">IF(OR(I220="",K220=""),"",I220-K220)</f>
        <v/>
      </c>
      <c r="M220" s="38" t="str">
        <f aca="false">IF(L220="","",L220-N220)</f>
        <v/>
      </c>
      <c r="N220" s="40" t="str">
        <f aca="false">IF(L220="","",ROUND(L220/6,2))</f>
        <v/>
      </c>
      <c r="O220" s="39" t="str">
        <f aca="false">IF(OR(K220="",K220=0),"",M220/K220)</f>
        <v/>
      </c>
      <c r="P220" s="37"/>
      <c r="Q220" s="37"/>
      <c r="R220" s="37"/>
      <c r="S220" s="37"/>
      <c r="T220" s="37"/>
      <c r="U220" s="37"/>
      <c r="V220" s="37"/>
      <c r="W220" s="37"/>
      <c r="X220" s="37"/>
    </row>
    <row r="221" customFormat="false" ht="21.75" hidden="false" customHeight="true" outlineLevel="0" collapsed="false">
      <c r="A221" s="42"/>
      <c r="B221" s="42"/>
      <c r="C221" s="42"/>
      <c r="D221" s="42"/>
      <c r="E221" s="42"/>
      <c r="F221" s="42"/>
      <c r="G221" s="42"/>
      <c r="H221" s="42"/>
      <c r="I221" s="42"/>
      <c r="J221" s="43" t="str">
        <f aca="false">IF(I221="","",ROUND(I221/1.2,2))</f>
        <v/>
      </c>
      <c r="K221" s="42"/>
      <c r="L221" s="43" t="str">
        <f aca="false">IF(OR(I221="",K221=""),"",I221-K221)</f>
        <v/>
      </c>
      <c r="M221" s="43" t="str">
        <f aca="false">IF(L221="","",L221-N221)</f>
        <v/>
      </c>
      <c r="N221" s="45" t="str">
        <f aca="false">IF(L221="","",ROUND(L221/6,2))</f>
        <v/>
      </c>
      <c r="O221" s="44" t="str">
        <f aca="false">IF(OR(K221="",K221=0),"",M221/K221)</f>
        <v/>
      </c>
      <c r="P221" s="42"/>
      <c r="Q221" s="42"/>
      <c r="R221" s="42"/>
      <c r="S221" s="42"/>
      <c r="T221" s="42"/>
      <c r="U221" s="42"/>
      <c r="V221" s="42"/>
      <c r="W221" s="42"/>
      <c r="X221" s="42"/>
    </row>
    <row r="222" customFormat="false" ht="21.75" hidden="false" customHeight="true" outlineLevel="0" collapsed="false">
      <c r="A222" s="37"/>
      <c r="B222" s="37"/>
      <c r="C222" s="37"/>
      <c r="D222" s="37"/>
      <c r="E222" s="37"/>
      <c r="F222" s="37"/>
      <c r="G222" s="37"/>
      <c r="H222" s="37"/>
      <c r="I222" s="37"/>
      <c r="J222" s="38" t="str">
        <f aca="false">IF(I222="","",ROUND(I222/1.2,2))</f>
        <v/>
      </c>
      <c r="K222" s="37"/>
      <c r="L222" s="38" t="str">
        <f aca="false">IF(OR(I222="",K222=""),"",I222-K222)</f>
        <v/>
      </c>
      <c r="M222" s="38" t="str">
        <f aca="false">IF(L222="","",L222-N222)</f>
        <v/>
      </c>
      <c r="N222" s="40" t="str">
        <f aca="false">IF(L222="","",ROUND(L222/6,2))</f>
        <v/>
      </c>
      <c r="O222" s="39" t="str">
        <f aca="false">IF(OR(K222="",K222=0),"",M222/K222)</f>
        <v/>
      </c>
      <c r="P222" s="37"/>
      <c r="Q222" s="37"/>
      <c r="R222" s="37"/>
      <c r="S222" s="37"/>
      <c r="T222" s="37"/>
      <c r="U222" s="37"/>
      <c r="V222" s="37"/>
      <c r="W222" s="37"/>
      <c r="X222" s="37"/>
    </row>
    <row r="223" customFormat="false" ht="21.75" hidden="false" customHeight="true" outlineLevel="0" collapsed="false">
      <c r="A223" s="42"/>
      <c r="B223" s="42"/>
      <c r="C223" s="42"/>
      <c r="D223" s="42"/>
      <c r="E223" s="42"/>
      <c r="F223" s="42"/>
      <c r="G223" s="42"/>
      <c r="H223" s="42"/>
      <c r="I223" s="42"/>
      <c r="J223" s="43" t="str">
        <f aca="false">IF(I223="","",ROUND(I223/1.2,2))</f>
        <v/>
      </c>
      <c r="K223" s="42"/>
      <c r="L223" s="43" t="str">
        <f aca="false">IF(OR(I223="",K223=""),"",I223-K223)</f>
        <v/>
      </c>
      <c r="M223" s="43" t="str">
        <f aca="false">IF(L223="","",L223-N223)</f>
        <v/>
      </c>
      <c r="N223" s="45" t="str">
        <f aca="false">IF(L223="","",ROUND(L223/6,2))</f>
        <v/>
      </c>
      <c r="O223" s="44" t="str">
        <f aca="false">IF(OR(K223="",K223=0),"",M223/K223)</f>
        <v/>
      </c>
      <c r="P223" s="42"/>
      <c r="Q223" s="42"/>
      <c r="R223" s="42"/>
      <c r="S223" s="42"/>
      <c r="T223" s="42"/>
      <c r="U223" s="42"/>
      <c r="V223" s="42"/>
      <c r="W223" s="42"/>
      <c r="X223" s="42"/>
    </row>
    <row r="224" customFormat="false" ht="21.75" hidden="false" customHeight="true" outlineLevel="0" collapsed="false">
      <c r="A224" s="37"/>
      <c r="B224" s="37"/>
      <c r="C224" s="37"/>
      <c r="D224" s="37"/>
      <c r="E224" s="37"/>
      <c r="F224" s="37"/>
      <c r="G224" s="37"/>
      <c r="H224" s="37"/>
      <c r="I224" s="37"/>
      <c r="J224" s="38" t="str">
        <f aca="false">IF(I224="","",ROUND(I224/1.2,2))</f>
        <v/>
      </c>
      <c r="K224" s="37"/>
      <c r="L224" s="38" t="str">
        <f aca="false">IF(OR(I224="",K224=""),"",I224-K224)</f>
        <v/>
      </c>
      <c r="M224" s="38" t="str">
        <f aca="false">IF(L224="","",L224-N224)</f>
        <v/>
      </c>
      <c r="N224" s="40" t="str">
        <f aca="false">IF(L224="","",ROUND(L224/6,2))</f>
        <v/>
      </c>
      <c r="O224" s="39" t="str">
        <f aca="false">IF(OR(K224="",K224=0),"",M224/K224)</f>
        <v/>
      </c>
      <c r="P224" s="37"/>
      <c r="Q224" s="37"/>
      <c r="R224" s="37"/>
      <c r="S224" s="37"/>
      <c r="T224" s="37"/>
      <c r="U224" s="37"/>
      <c r="V224" s="37"/>
      <c r="W224" s="37"/>
      <c r="X224" s="37"/>
    </row>
    <row r="225" customFormat="false" ht="21.75" hidden="false" customHeight="true" outlineLevel="0" collapsed="false">
      <c r="A225" s="42"/>
      <c r="B225" s="42"/>
      <c r="C225" s="42"/>
      <c r="D225" s="42"/>
      <c r="E225" s="42"/>
      <c r="F225" s="42"/>
      <c r="G225" s="42"/>
      <c r="H225" s="42"/>
      <c r="I225" s="42"/>
      <c r="J225" s="43" t="str">
        <f aca="false">IF(I225="","",ROUND(I225/1.2,2))</f>
        <v/>
      </c>
      <c r="K225" s="42"/>
      <c r="L225" s="43" t="str">
        <f aca="false">IF(OR(I225="",K225=""),"",I225-K225)</f>
        <v/>
      </c>
      <c r="M225" s="43" t="str">
        <f aca="false">IF(L225="","",L225-N225)</f>
        <v/>
      </c>
      <c r="N225" s="45" t="str">
        <f aca="false">IF(L225="","",ROUND(L225/6,2))</f>
        <v/>
      </c>
      <c r="O225" s="44" t="str">
        <f aca="false">IF(OR(K225="",K225=0),"",M225/K225)</f>
        <v/>
      </c>
      <c r="P225" s="42"/>
      <c r="Q225" s="42"/>
      <c r="R225" s="42"/>
      <c r="S225" s="42"/>
      <c r="T225" s="42"/>
      <c r="U225" s="42"/>
      <c r="V225" s="42"/>
      <c r="W225" s="42"/>
      <c r="X225" s="42"/>
    </row>
    <row r="226" customFormat="false" ht="21.75" hidden="false" customHeight="true" outlineLevel="0" collapsed="false">
      <c r="A226" s="37"/>
      <c r="B226" s="37"/>
      <c r="C226" s="37"/>
      <c r="D226" s="37"/>
      <c r="E226" s="37"/>
      <c r="F226" s="37"/>
      <c r="G226" s="37"/>
      <c r="H226" s="37"/>
      <c r="I226" s="37"/>
      <c r="J226" s="38" t="str">
        <f aca="false">IF(I226="","",ROUND(I226/1.2,2))</f>
        <v/>
      </c>
      <c r="K226" s="37"/>
      <c r="L226" s="38" t="str">
        <f aca="false">IF(OR(I226="",K226=""),"",I226-K226)</f>
        <v/>
      </c>
      <c r="M226" s="38" t="str">
        <f aca="false">IF(L226="","",L226-N226)</f>
        <v/>
      </c>
      <c r="N226" s="40" t="str">
        <f aca="false">IF(L226="","",ROUND(L226/6,2))</f>
        <v/>
      </c>
      <c r="O226" s="39" t="str">
        <f aca="false">IF(OR(K226="",K226=0),"",M226/K226)</f>
        <v/>
      </c>
      <c r="P226" s="37"/>
      <c r="Q226" s="37"/>
      <c r="R226" s="37"/>
      <c r="S226" s="37"/>
      <c r="T226" s="37"/>
      <c r="U226" s="37"/>
      <c r="V226" s="37"/>
      <c r="W226" s="37"/>
      <c r="X226" s="37"/>
    </row>
    <row r="227" customFormat="false" ht="21.75" hidden="false" customHeight="true" outlineLevel="0" collapsed="false">
      <c r="A227" s="42"/>
      <c r="B227" s="42"/>
      <c r="C227" s="42"/>
      <c r="D227" s="42"/>
      <c r="E227" s="42"/>
      <c r="F227" s="42"/>
      <c r="G227" s="42"/>
      <c r="H227" s="42"/>
      <c r="I227" s="42"/>
      <c r="J227" s="43" t="str">
        <f aca="false">IF(I227="","",ROUND(I227/1.2,2))</f>
        <v/>
      </c>
      <c r="K227" s="42"/>
      <c r="L227" s="43" t="str">
        <f aca="false">IF(OR(I227="",K227=""),"",I227-K227)</f>
        <v/>
      </c>
      <c r="M227" s="43" t="str">
        <f aca="false">IF(L227="","",L227-N227)</f>
        <v/>
      </c>
      <c r="N227" s="45" t="str">
        <f aca="false">IF(L227="","",ROUND(L227/6,2))</f>
        <v/>
      </c>
      <c r="O227" s="44" t="str">
        <f aca="false">IF(OR(K227="",K227=0),"",M227/K227)</f>
        <v/>
      </c>
      <c r="P227" s="42"/>
      <c r="Q227" s="42"/>
      <c r="R227" s="42"/>
      <c r="S227" s="42"/>
      <c r="T227" s="42"/>
      <c r="U227" s="42"/>
      <c r="V227" s="42"/>
      <c r="W227" s="42"/>
      <c r="X227" s="42"/>
    </row>
    <row r="228" customFormat="false" ht="21.75" hidden="false" customHeight="true" outlineLevel="0" collapsed="false">
      <c r="A228" s="37"/>
      <c r="B228" s="37"/>
      <c r="C228" s="37"/>
      <c r="D228" s="37"/>
      <c r="E228" s="37"/>
      <c r="F228" s="37"/>
      <c r="G228" s="37"/>
      <c r="H228" s="37"/>
      <c r="I228" s="37"/>
      <c r="J228" s="38" t="str">
        <f aca="false">IF(I228="","",ROUND(I228/1.2,2))</f>
        <v/>
      </c>
      <c r="K228" s="37"/>
      <c r="L228" s="38" t="str">
        <f aca="false">IF(OR(I228="",K228=""),"",I228-K228)</f>
        <v/>
      </c>
      <c r="M228" s="38" t="str">
        <f aca="false">IF(L228="","",L228-N228)</f>
        <v/>
      </c>
      <c r="N228" s="40" t="str">
        <f aca="false">IF(L228="","",ROUND(L228/6,2))</f>
        <v/>
      </c>
      <c r="O228" s="39" t="str">
        <f aca="false">IF(OR(K228="",K228=0),"",M228/K228)</f>
        <v/>
      </c>
      <c r="P228" s="37"/>
      <c r="Q228" s="37"/>
      <c r="R228" s="37"/>
      <c r="S228" s="37"/>
      <c r="T228" s="37"/>
      <c r="U228" s="37"/>
      <c r="V228" s="37"/>
      <c r="W228" s="37"/>
      <c r="X228" s="37"/>
    </row>
    <row r="229" customFormat="false" ht="21.75" hidden="false" customHeight="true" outlineLevel="0" collapsed="false">
      <c r="A229" s="42"/>
      <c r="B229" s="42"/>
      <c r="C229" s="42"/>
      <c r="D229" s="42"/>
      <c r="E229" s="42"/>
      <c r="F229" s="42"/>
      <c r="G229" s="42"/>
      <c r="H229" s="42"/>
      <c r="I229" s="42"/>
      <c r="J229" s="43" t="str">
        <f aca="false">IF(I229="","",ROUND(I229/1.2,2))</f>
        <v/>
      </c>
      <c r="K229" s="42"/>
      <c r="L229" s="43" t="str">
        <f aca="false">IF(OR(I229="",K229=""),"",I229-K229)</f>
        <v/>
      </c>
      <c r="M229" s="43" t="str">
        <f aca="false">IF(L229="","",L229-N229)</f>
        <v/>
      </c>
      <c r="N229" s="45" t="str">
        <f aca="false">IF(L229="","",ROUND(L229/6,2))</f>
        <v/>
      </c>
      <c r="O229" s="44" t="str">
        <f aca="false">IF(OR(K229="",K229=0),"",M229/K229)</f>
        <v/>
      </c>
      <c r="P229" s="42"/>
      <c r="Q229" s="42"/>
      <c r="R229" s="42"/>
      <c r="S229" s="42"/>
      <c r="T229" s="42"/>
      <c r="U229" s="42"/>
      <c r="V229" s="42"/>
      <c r="W229" s="42"/>
      <c r="X229" s="42"/>
    </row>
    <row r="230" customFormat="false" ht="21.75" hidden="false" customHeight="true" outlineLevel="0" collapsed="false">
      <c r="A230" s="37"/>
      <c r="B230" s="37"/>
      <c r="C230" s="37"/>
      <c r="D230" s="37"/>
      <c r="E230" s="37"/>
      <c r="F230" s="37"/>
      <c r="G230" s="37"/>
      <c r="H230" s="37"/>
      <c r="I230" s="37"/>
      <c r="J230" s="38" t="str">
        <f aca="false">IF(I230="","",ROUND(I230/1.2,2))</f>
        <v/>
      </c>
      <c r="K230" s="37"/>
      <c r="L230" s="38" t="str">
        <f aca="false">IF(OR(I230="",K230=""),"",I230-K230)</f>
        <v/>
      </c>
      <c r="M230" s="38" t="str">
        <f aca="false">IF(L230="","",L230-N230)</f>
        <v/>
      </c>
      <c r="N230" s="40" t="str">
        <f aca="false">IF(L230="","",ROUND(L230/6,2))</f>
        <v/>
      </c>
      <c r="O230" s="39" t="str">
        <f aca="false">IF(OR(K230="",K230=0),"",M230/K230)</f>
        <v/>
      </c>
      <c r="P230" s="37"/>
      <c r="Q230" s="37"/>
      <c r="R230" s="37"/>
      <c r="S230" s="37"/>
      <c r="T230" s="37"/>
      <c r="U230" s="37"/>
      <c r="V230" s="37"/>
      <c r="W230" s="37"/>
      <c r="X230" s="37"/>
    </row>
    <row r="231" customFormat="false" ht="21.75" hidden="false" customHeight="true" outlineLevel="0" collapsed="false">
      <c r="A231" s="42"/>
      <c r="B231" s="42"/>
      <c r="C231" s="42"/>
      <c r="D231" s="42"/>
      <c r="E231" s="42"/>
      <c r="F231" s="42"/>
      <c r="G231" s="42"/>
      <c r="H231" s="42"/>
      <c r="I231" s="42"/>
      <c r="J231" s="43" t="str">
        <f aca="false">IF(I231="","",ROUND(I231/1.2,2))</f>
        <v/>
      </c>
      <c r="K231" s="42"/>
      <c r="L231" s="43" t="str">
        <f aca="false">IF(OR(I231="",K231=""),"",I231-K231)</f>
        <v/>
      </c>
      <c r="M231" s="43" t="str">
        <f aca="false">IF(L231="","",L231-N231)</f>
        <v/>
      </c>
      <c r="N231" s="45" t="str">
        <f aca="false">IF(L231="","",ROUND(L231/6,2))</f>
        <v/>
      </c>
      <c r="O231" s="44" t="str">
        <f aca="false">IF(OR(K231="",K231=0),"",M231/K231)</f>
        <v/>
      </c>
      <c r="P231" s="42"/>
      <c r="Q231" s="42"/>
      <c r="R231" s="42"/>
      <c r="S231" s="42"/>
      <c r="T231" s="42"/>
      <c r="U231" s="42"/>
      <c r="V231" s="42"/>
      <c r="W231" s="42"/>
      <c r="X231" s="42"/>
    </row>
    <row r="232" customFormat="false" ht="21.75" hidden="false" customHeight="true" outlineLevel="0" collapsed="false">
      <c r="A232" s="37"/>
      <c r="B232" s="37"/>
      <c r="C232" s="37"/>
      <c r="D232" s="37"/>
      <c r="E232" s="37"/>
      <c r="F232" s="37"/>
      <c r="G232" s="37"/>
      <c r="H232" s="37"/>
      <c r="I232" s="37"/>
      <c r="J232" s="38" t="str">
        <f aca="false">IF(I232="","",ROUND(I232/1.2,2))</f>
        <v/>
      </c>
      <c r="K232" s="37"/>
      <c r="L232" s="38" t="str">
        <f aca="false">IF(OR(I232="",K232=""),"",I232-K232)</f>
        <v/>
      </c>
      <c r="M232" s="38" t="str">
        <f aca="false">IF(L232="","",L232-N232)</f>
        <v/>
      </c>
      <c r="N232" s="40" t="str">
        <f aca="false">IF(L232="","",ROUND(L232/6,2))</f>
        <v/>
      </c>
      <c r="O232" s="39" t="str">
        <f aca="false">IF(OR(K232="",K232=0),"",M232/K232)</f>
        <v/>
      </c>
      <c r="P232" s="37"/>
      <c r="Q232" s="37"/>
      <c r="R232" s="37"/>
      <c r="S232" s="37"/>
      <c r="T232" s="37"/>
      <c r="U232" s="37"/>
      <c r="V232" s="37"/>
      <c r="W232" s="37"/>
      <c r="X232" s="37"/>
    </row>
    <row r="233" customFormat="false" ht="21.75" hidden="false" customHeight="true" outlineLevel="0" collapsed="false">
      <c r="A233" s="42"/>
      <c r="B233" s="42"/>
      <c r="C233" s="42"/>
      <c r="D233" s="42"/>
      <c r="E233" s="42"/>
      <c r="F233" s="42"/>
      <c r="G233" s="42"/>
      <c r="H233" s="42"/>
      <c r="I233" s="42"/>
      <c r="J233" s="43" t="str">
        <f aca="false">IF(I233="","",ROUND(I233/1.2,2))</f>
        <v/>
      </c>
      <c r="K233" s="42"/>
      <c r="L233" s="43" t="str">
        <f aca="false">IF(OR(I233="",K233=""),"",I233-K233)</f>
        <v/>
      </c>
      <c r="M233" s="43" t="str">
        <f aca="false">IF(L233="","",L233-N233)</f>
        <v/>
      </c>
      <c r="N233" s="45" t="str">
        <f aca="false">IF(L233="","",ROUND(L233/6,2))</f>
        <v/>
      </c>
      <c r="O233" s="44" t="str">
        <f aca="false">IF(OR(K233="",K233=0),"",M233/K233)</f>
        <v/>
      </c>
      <c r="P233" s="42"/>
      <c r="Q233" s="42"/>
      <c r="R233" s="42"/>
      <c r="S233" s="42"/>
      <c r="T233" s="42"/>
      <c r="U233" s="42"/>
      <c r="V233" s="42"/>
      <c r="W233" s="42"/>
      <c r="X233" s="42"/>
    </row>
    <row r="234" customFormat="false" ht="21.75" hidden="false" customHeight="true" outlineLevel="0" collapsed="false">
      <c r="A234" s="37"/>
      <c r="B234" s="37"/>
      <c r="C234" s="37"/>
      <c r="D234" s="37"/>
      <c r="E234" s="37"/>
      <c r="F234" s="37"/>
      <c r="G234" s="37"/>
      <c r="H234" s="37"/>
      <c r="I234" s="37"/>
      <c r="J234" s="38" t="str">
        <f aca="false">IF(I234="","",ROUND(I234/1.2,2))</f>
        <v/>
      </c>
      <c r="K234" s="37"/>
      <c r="L234" s="38" t="str">
        <f aca="false">IF(OR(I234="",K234=""),"",I234-K234)</f>
        <v/>
      </c>
      <c r="M234" s="38" t="str">
        <f aca="false">IF(L234="","",L234-N234)</f>
        <v/>
      </c>
      <c r="N234" s="40" t="str">
        <f aca="false">IF(L234="","",ROUND(L234/6,2))</f>
        <v/>
      </c>
      <c r="O234" s="39" t="str">
        <f aca="false">IF(OR(K234="",K234=0),"",M234/K234)</f>
        <v/>
      </c>
      <c r="P234" s="37"/>
      <c r="Q234" s="37"/>
      <c r="R234" s="37"/>
      <c r="S234" s="37"/>
      <c r="T234" s="37"/>
      <c r="U234" s="37"/>
      <c r="V234" s="37"/>
      <c r="W234" s="37"/>
      <c r="X234" s="37"/>
    </row>
    <row r="235" customFormat="false" ht="21.75" hidden="false" customHeight="true" outlineLevel="0" collapsed="false">
      <c r="A235" s="42"/>
      <c r="B235" s="42"/>
      <c r="C235" s="42"/>
      <c r="D235" s="42"/>
      <c r="E235" s="42"/>
      <c r="F235" s="42"/>
      <c r="G235" s="42"/>
      <c r="H235" s="42"/>
      <c r="I235" s="42"/>
      <c r="J235" s="43" t="str">
        <f aca="false">IF(I235="","",ROUND(I235/1.2,2))</f>
        <v/>
      </c>
      <c r="K235" s="42"/>
      <c r="L235" s="43" t="str">
        <f aca="false">IF(OR(I235="",K235=""),"",I235-K235)</f>
        <v/>
      </c>
      <c r="M235" s="43" t="str">
        <f aca="false">IF(L235="","",L235-N235)</f>
        <v/>
      </c>
      <c r="N235" s="45" t="str">
        <f aca="false">IF(L235="","",ROUND(L235/6,2))</f>
        <v/>
      </c>
      <c r="O235" s="44" t="str">
        <f aca="false">IF(OR(K235="",K235=0),"",M235/K235)</f>
        <v/>
      </c>
      <c r="P235" s="42"/>
      <c r="Q235" s="42"/>
      <c r="R235" s="42"/>
      <c r="S235" s="42"/>
      <c r="T235" s="42"/>
      <c r="U235" s="42"/>
      <c r="V235" s="42"/>
      <c r="W235" s="42"/>
      <c r="X235" s="42"/>
    </row>
    <row r="236" customFormat="false" ht="21.75" hidden="false" customHeight="true" outlineLevel="0" collapsed="false">
      <c r="A236" s="37"/>
      <c r="B236" s="37"/>
      <c r="C236" s="37"/>
      <c r="D236" s="37"/>
      <c r="E236" s="37"/>
      <c r="F236" s="37"/>
      <c r="G236" s="37"/>
      <c r="H236" s="37"/>
      <c r="I236" s="37"/>
      <c r="J236" s="38" t="str">
        <f aca="false">IF(I236="","",ROUND(I236/1.2,2))</f>
        <v/>
      </c>
      <c r="K236" s="37"/>
      <c r="L236" s="38" t="str">
        <f aca="false">IF(OR(I236="",K236=""),"",I236-K236)</f>
        <v/>
      </c>
      <c r="M236" s="38" t="str">
        <f aca="false">IF(L236="","",L236-N236)</f>
        <v/>
      </c>
      <c r="N236" s="40" t="str">
        <f aca="false">IF(L236="","",ROUND(L236/6,2))</f>
        <v/>
      </c>
      <c r="O236" s="39" t="str">
        <f aca="false">IF(OR(K236="",K236=0),"",M236/K236)</f>
        <v/>
      </c>
      <c r="P236" s="37"/>
      <c r="Q236" s="37"/>
      <c r="R236" s="37"/>
      <c r="S236" s="37"/>
      <c r="T236" s="37"/>
      <c r="U236" s="37"/>
      <c r="V236" s="37"/>
      <c r="W236" s="37"/>
      <c r="X236" s="37"/>
    </row>
    <row r="237" customFormat="false" ht="21.75" hidden="false" customHeight="true" outlineLevel="0" collapsed="false">
      <c r="A237" s="42"/>
      <c r="B237" s="42"/>
      <c r="C237" s="42"/>
      <c r="D237" s="42"/>
      <c r="E237" s="42"/>
      <c r="F237" s="42"/>
      <c r="G237" s="42"/>
      <c r="H237" s="42"/>
      <c r="I237" s="42"/>
      <c r="J237" s="43" t="str">
        <f aca="false">IF(I237="","",ROUND(I237/1.2,2))</f>
        <v/>
      </c>
      <c r="K237" s="42"/>
      <c r="L237" s="43" t="str">
        <f aca="false">IF(OR(I237="",K237=""),"",I237-K237)</f>
        <v/>
      </c>
      <c r="M237" s="43" t="str">
        <f aca="false">IF(L237="","",L237-N237)</f>
        <v/>
      </c>
      <c r="N237" s="45" t="str">
        <f aca="false">IF(L237="","",ROUND(L237/6,2))</f>
        <v/>
      </c>
      <c r="O237" s="44" t="str">
        <f aca="false">IF(OR(K237="",K237=0),"",M237/K237)</f>
        <v/>
      </c>
      <c r="P237" s="42"/>
      <c r="Q237" s="42"/>
      <c r="R237" s="42"/>
      <c r="S237" s="42"/>
      <c r="T237" s="42"/>
      <c r="U237" s="42"/>
      <c r="V237" s="42"/>
      <c r="W237" s="42"/>
      <c r="X237" s="42"/>
    </row>
    <row r="238" customFormat="false" ht="21.75" hidden="false" customHeight="true" outlineLevel="0" collapsed="false">
      <c r="A238" s="37"/>
      <c r="B238" s="37"/>
      <c r="C238" s="37"/>
      <c r="D238" s="37"/>
      <c r="E238" s="37"/>
      <c r="F238" s="37"/>
      <c r="G238" s="37"/>
      <c r="H238" s="37"/>
      <c r="I238" s="37"/>
      <c r="J238" s="38" t="str">
        <f aca="false">IF(I238="","",ROUND(I238/1.2,2))</f>
        <v/>
      </c>
      <c r="K238" s="37"/>
      <c r="L238" s="38" t="str">
        <f aca="false">IF(OR(I238="",K238=""),"",I238-K238)</f>
        <v/>
      </c>
      <c r="M238" s="38" t="str">
        <f aca="false">IF(L238="","",L238-N238)</f>
        <v/>
      </c>
      <c r="N238" s="40" t="str">
        <f aca="false">IF(L238="","",ROUND(L238/6,2))</f>
        <v/>
      </c>
      <c r="O238" s="39" t="str">
        <f aca="false">IF(OR(K238="",K238=0),"",M238/K238)</f>
        <v/>
      </c>
      <c r="P238" s="37"/>
      <c r="Q238" s="37"/>
      <c r="R238" s="37"/>
      <c r="S238" s="37"/>
      <c r="T238" s="37"/>
      <c r="U238" s="37"/>
      <c r="V238" s="37"/>
      <c r="W238" s="37"/>
      <c r="X238" s="37"/>
    </row>
    <row r="239" customFormat="false" ht="21.75" hidden="false" customHeight="true" outlineLevel="0" collapsed="false">
      <c r="A239" s="42"/>
      <c r="B239" s="42"/>
      <c r="C239" s="42"/>
      <c r="D239" s="42"/>
      <c r="E239" s="42"/>
      <c r="F239" s="42"/>
      <c r="G239" s="42"/>
      <c r="H239" s="42"/>
      <c r="I239" s="42"/>
      <c r="J239" s="43" t="str">
        <f aca="false">IF(I239="","",ROUND(I239/1.2,2))</f>
        <v/>
      </c>
      <c r="K239" s="42"/>
      <c r="L239" s="43" t="str">
        <f aca="false">IF(OR(I239="",K239=""),"",I239-K239)</f>
        <v/>
      </c>
      <c r="M239" s="43" t="str">
        <f aca="false">IF(L239="","",L239-N239)</f>
        <v/>
      </c>
      <c r="N239" s="45" t="str">
        <f aca="false">IF(L239="","",ROUND(L239/6,2))</f>
        <v/>
      </c>
      <c r="O239" s="44" t="str">
        <f aca="false">IF(OR(K239="",K239=0),"",M239/K239)</f>
        <v/>
      </c>
      <c r="P239" s="42"/>
      <c r="Q239" s="42"/>
      <c r="R239" s="42"/>
      <c r="S239" s="42"/>
      <c r="T239" s="42"/>
      <c r="U239" s="42"/>
      <c r="V239" s="42"/>
      <c r="W239" s="42"/>
      <c r="X239" s="42"/>
    </row>
    <row r="240" customFormat="false" ht="21.75" hidden="false" customHeight="true" outlineLevel="0" collapsed="false">
      <c r="A240" s="37"/>
      <c r="B240" s="37"/>
      <c r="C240" s="37"/>
      <c r="D240" s="37"/>
      <c r="E240" s="37"/>
      <c r="F240" s="37"/>
      <c r="G240" s="37"/>
      <c r="H240" s="37"/>
      <c r="I240" s="37"/>
      <c r="J240" s="38" t="str">
        <f aca="false">IF(I240="","",ROUND(I240/1.2,2))</f>
        <v/>
      </c>
      <c r="K240" s="37"/>
      <c r="L240" s="38" t="str">
        <f aca="false">IF(OR(I240="",K240=""),"",I240-K240)</f>
        <v/>
      </c>
      <c r="M240" s="38" t="str">
        <f aca="false">IF(L240="","",L240-N240)</f>
        <v/>
      </c>
      <c r="N240" s="40" t="str">
        <f aca="false">IF(L240="","",ROUND(L240/6,2))</f>
        <v/>
      </c>
      <c r="O240" s="39" t="str">
        <f aca="false">IF(OR(K240="",K240=0),"",M240/K240)</f>
        <v/>
      </c>
      <c r="P240" s="37"/>
      <c r="Q240" s="37"/>
      <c r="R240" s="37"/>
      <c r="S240" s="37"/>
      <c r="T240" s="37"/>
      <c r="U240" s="37"/>
      <c r="V240" s="37"/>
      <c r="W240" s="37"/>
      <c r="X240" s="37"/>
    </row>
    <row r="241" customFormat="false" ht="21.75" hidden="false" customHeight="true" outlineLevel="0" collapsed="false">
      <c r="A241" s="42"/>
      <c r="B241" s="42"/>
      <c r="C241" s="42"/>
      <c r="D241" s="42"/>
      <c r="E241" s="42"/>
      <c r="F241" s="42"/>
      <c r="G241" s="42"/>
      <c r="H241" s="42"/>
      <c r="I241" s="42"/>
      <c r="J241" s="43" t="str">
        <f aca="false">IF(I241="","",ROUND(I241/1.2,2))</f>
        <v/>
      </c>
      <c r="K241" s="42"/>
      <c r="L241" s="43" t="str">
        <f aca="false">IF(OR(I241="",K241=""),"",I241-K241)</f>
        <v/>
      </c>
      <c r="M241" s="43" t="str">
        <f aca="false">IF(L241="","",L241-N241)</f>
        <v/>
      </c>
      <c r="N241" s="45" t="str">
        <f aca="false">IF(L241="","",ROUND(L241/6,2))</f>
        <v/>
      </c>
      <c r="O241" s="44" t="str">
        <f aca="false">IF(OR(K241="",K241=0),"",M241/K241)</f>
        <v/>
      </c>
      <c r="P241" s="42"/>
      <c r="Q241" s="42"/>
      <c r="R241" s="42"/>
      <c r="S241" s="42"/>
      <c r="T241" s="42"/>
      <c r="U241" s="42"/>
      <c r="V241" s="42"/>
      <c r="W241" s="42"/>
      <c r="X241" s="42"/>
    </row>
    <row r="242" customFormat="false" ht="21.75" hidden="false" customHeight="true" outlineLevel="0" collapsed="false">
      <c r="A242" s="37"/>
      <c r="B242" s="37"/>
      <c r="C242" s="37"/>
      <c r="D242" s="37"/>
      <c r="E242" s="37"/>
      <c r="F242" s="37"/>
      <c r="G242" s="37"/>
      <c r="H242" s="37"/>
      <c r="I242" s="37"/>
      <c r="J242" s="38" t="str">
        <f aca="false">IF(I242="","",ROUND(I242/1.2,2))</f>
        <v/>
      </c>
      <c r="K242" s="37"/>
      <c r="L242" s="38" t="str">
        <f aca="false">IF(OR(I242="",K242=""),"",I242-K242)</f>
        <v/>
      </c>
      <c r="M242" s="38" t="str">
        <f aca="false">IF(L242="","",L242-N242)</f>
        <v/>
      </c>
      <c r="N242" s="40" t="str">
        <f aca="false">IF(L242="","",ROUND(L242/6,2))</f>
        <v/>
      </c>
      <c r="O242" s="39" t="str">
        <f aca="false">IF(OR(K242="",K242=0),"",M242/K242)</f>
        <v/>
      </c>
      <c r="P242" s="37"/>
      <c r="Q242" s="37"/>
      <c r="R242" s="37"/>
      <c r="S242" s="37"/>
      <c r="T242" s="37"/>
      <c r="U242" s="37"/>
      <c r="V242" s="37"/>
      <c r="W242" s="37"/>
      <c r="X242" s="37"/>
    </row>
    <row r="243" customFormat="false" ht="21.75" hidden="false" customHeight="true" outlineLevel="0" collapsed="false">
      <c r="A243" s="42"/>
      <c r="B243" s="42"/>
      <c r="C243" s="42"/>
      <c r="D243" s="42"/>
      <c r="E243" s="42"/>
      <c r="F243" s="42"/>
      <c r="G243" s="42"/>
      <c r="H243" s="42"/>
      <c r="I243" s="42"/>
      <c r="J243" s="43" t="str">
        <f aca="false">IF(I243="","",ROUND(I243/1.2,2))</f>
        <v/>
      </c>
      <c r="K243" s="42"/>
      <c r="L243" s="43" t="str">
        <f aca="false">IF(OR(I243="",K243=""),"",I243-K243)</f>
        <v/>
      </c>
      <c r="M243" s="43" t="str">
        <f aca="false">IF(L243="","",L243-N243)</f>
        <v/>
      </c>
      <c r="N243" s="45" t="str">
        <f aca="false">IF(L243="","",ROUND(L243/6,2))</f>
        <v/>
      </c>
      <c r="O243" s="44" t="str">
        <f aca="false">IF(OR(K243="",K243=0),"",M243/K243)</f>
        <v/>
      </c>
      <c r="P243" s="42"/>
      <c r="Q243" s="42"/>
      <c r="R243" s="42"/>
      <c r="S243" s="42"/>
      <c r="T243" s="42"/>
      <c r="U243" s="42"/>
      <c r="V243" s="42"/>
      <c r="W243" s="42"/>
      <c r="X243" s="42"/>
    </row>
    <row r="244" customFormat="false" ht="21.75" hidden="false" customHeight="true" outlineLevel="0" collapsed="false">
      <c r="A244" s="37"/>
      <c r="B244" s="37"/>
      <c r="C244" s="37"/>
      <c r="D244" s="37"/>
      <c r="E244" s="37"/>
      <c r="F244" s="37"/>
      <c r="G244" s="37"/>
      <c r="H244" s="37"/>
      <c r="I244" s="37"/>
      <c r="J244" s="38" t="str">
        <f aca="false">IF(I244="","",ROUND(I244/1.2,2))</f>
        <v/>
      </c>
      <c r="K244" s="37"/>
      <c r="L244" s="38" t="str">
        <f aca="false">IF(OR(I244="",K244=""),"",I244-K244)</f>
        <v/>
      </c>
      <c r="M244" s="38" t="str">
        <f aca="false">IF(L244="","",L244-N244)</f>
        <v/>
      </c>
      <c r="N244" s="40" t="str">
        <f aca="false">IF(L244="","",ROUND(L244/6,2))</f>
        <v/>
      </c>
      <c r="O244" s="39" t="str">
        <f aca="false">IF(OR(K244="",K244=0),"",M244/K244)</f>
        <v/>
      </c>
      <c r="P244" s="37"/>
      <c r="Q244" s="37"/>
      <c r="R244" s="37"/>
      <c r="S244" s="37"/>
      <c r="T244" s="37"/>
      <c r="U244" s="37"/>
      <c r="V244" s="37"/>
      <c r="W244" s="37"/>
      <c r="X244" s="37"/>
    </row>
    <row r="245" customFormat="false" ht="21.75" hidden="false" customHeight="true" outlineLevel="0" collapsed="false">
      <c r="A245" s="42"/>
      <c r="B245" s="42"/>
      <c r="C245" s="42"/>
      <c r="D245" s="42"/>
      <c r="E245" s="42"/>
      <c r="F245" s="42"/>
      <c r="G245" s="42"/>
      <c r="H245" s="42"/>
      <c r="I245" s="42"/>
      <c r="J245" s="43" t="str">
        <f aca="false">IF(I245="","",ROUND(I245/1.2,2))</f>
        <v/>
      </c>
      <c r="K245" s="42"/>
      <c r="L245" s="43" t="str">
        <f aca="false">IF(OR(I245="",K245=""),"",I245-K245)</f>
        <v/>
      </c>
      <c r="M245" s="43" t="str">
        <f aca="false">IF(L245="","",L245-N245)</f>
        <v/>
      </c>
      <c r="N245" s="45" t="str">
        <f aca="false">IF(L245="","",ROUND(L245/6,2))</f>
        <v/>
      </c>
      <c r="O245" s="44" t="str">
        <f aca="false">IF(OR(K245="",K245=0),"",M245/K245)</f>
        <v/>
      </c>
      <c r="P245" s="42"/>
      <c r="Q245" s="42"/>
      <c r="R245" s="42"/>
      <c r="S245" s="42"/>
      <c r="T245" s="42"/>
      <c r="U245" s="42"/>
      <c r="V245" s="42"/>
      <c r="W245" s="42"/>
      <c r="X245" s="42"/>
    </row>
    <row r="246" customFormat="false" ht="21.75" hidden="false" customHeight="true" outlineLevel="0" collapsed="false">
      <c r="A246" s="37"/>
      <c r="B246" s="37"/>
      <c r="C246" s="37"/>
      <c r="D246" s="37"/>
      <c r="E246" s="37"/>
      <c r="F246" s="37"/>
      <c r="G246" s="37"/>
      <c r="H246" s="37"/>
      <c r="I246" s="37"/>
      <c r="J246" s="38" t="str">
        <f aca="false">IF(I246="","",ROUND(I246/1.2,2))</f>
        <v/>
      </c>
      <c r="K246" s="37"/>
      <c r="L246" s="38" t="str">
        <f aca="false">IF(OR(I246="",K246=""),"",I246-K246)</f>
        <v/>
      </c>
      <c r="M246" s="38" t="str">
        <f aca="false">IF(L246="","",L246-N246)</f>
        <v/>
      </c>
      <c r="N246" s="40" t="str">
        <f aca="false">IF(L246="","",ROUND(L246/6,2))</f>
        <v/>
      </c>
      <c r="O246" s="39" t="str">
        <f aca="false">IF(OR(K246="",K246=0),"",M246/K246)</f>
        <v/>
      </c>
      <c r="P246" s="37"/>
      <c r="Q246" s="37"/>
      <c r="R246" s="37"/>
      <c r="S246" s="37"/>
      <c r="T246" s="37"/>
      <c r="U246" s="37"/>
      <c r="V246" s="37"/>
      <c r="W246" s="37"/>
      <c r="X246" s="37"/>
    </row>
    <row r="247" customFormat="false" ht="21.75" hidden="false" customHeight="true" outlineLevel="0" collapsed="false">
      <c r="A247" s="42"/>
      <c r="B247" s="42"/>
      <c r="C247" s="42"/>
      <c r="D247" s="42"/>
      <c r="E247" s="42"/>
      <c r="F247" s="42"/>
      <c r="G247" s="42"/>
      <c r="H247" s="42"/>
      <c r="I247" s="42"/>
      <c r="J247" s="43" t="str">
        <f aca="false">IF(I247="","",ROUND(I247/1.2,2))</f>
        <v/>
      </c>
      <c r="K247" s="42"/>
      <c r="L247" s="43" t="str">
        <f aca="false">IF(OR(I247="",K247=""),"",I247-K247)</f>
        <v/>
      </c>
      <c r="M247" s="43" t="str">
        <f aca="false">IF(L247="","",L247-N247)</f>
        <v/>
      </c>
      <c r="N247" s="45" t="str">
        <f aca="false">IF(L247="","",ROUND(L247/6,2))</f>
        <v/>
      </c>
      <c r="O247" s="44" t="str">
        <f aca="false">IF(OR(K247="",K247=0),"",M247/K247)</f>
        <v/>
      </c>
      <c r="P247" s="42"/>
      <c r="Q247" s="42"/>
      <c r="R247" s="42"/>
      <c r="S247" s="42"/>
      <c r="T247" s="42"/>
      <c r="U247" s="42"/>
      <c r="V247" s="42"/>
      <c r="W247" s="42"/>
      <c r="X247" s="42"/>
    </row>
    <row r="248" customFormat="false" ht="21.75" hidden="false" customHeight="true" outlineLevel="0" collapsed="false">
      <c r="A248" s="37"/>
      <c r="B248" s="37"/>
      <c r="C248" s="37"/>
      <c r="D248" s="37"/>
      <c r="E248" s="37"/>
      <c r="F248" s="37"/>
      <c r="G248" s="37"/>
      <c r="H248" s="37"/>
      <c r="I248" s="37"/>
      <c r="J248" s="38" t="str">
        <f aca="false">IF(I248="","",ROUND(I248/1.2,2))</f>
        <v/>
      </c>
      <c r="K248" s="37"/>
      <c r="L248" s="38" t="str">
        <f aca="false">IF(OR(I248="",K248=""),"",I248-K248)</f>
        <v/>
      </c>
      <c r="M248" s="38" t="str">
        <f aca="false">IF(L248="","",L248-N248)</f>
        <v/>
      </c>
      <c r="N248" s="40" t="str">
        <f aca="false">IF(L248="","",ROUND(L248/6,2))</f>
        <v/>
      </c>
      <c r="O248" s="39" t="str">
        <f aca="false">IF(OR(K248="",K248=0),"",M248/K248)</f>
        <v/>
      </c>
      <c r="P248" s="37"/>
      <c r="Q248" s="37"/>
      <c r="R248" s="37"/>
      <c r="S248" s="37"/>
      <c r="T248" s="37"/>
      <c r="U248" s="37"/>
      <c r="V248" s="37"/>
      <c r="W248" s="37"/>
      <c r="X248" s="37"/>
    </row>
    <row r="249" customFormat="false" ht="21.75" hidden="false" customHeight="true" outlineLevel="0" collapsed="false">
      <c r="A249" s="42"/>
      <c r="B249" s="42"/>
      <c r="C249" s="42"/>
      <c r="D249" s="42"/>
      <c r="E249" s="42"/>
      <c r="F249" s="42"/>
      <c r="G249" s="42"/>
      <c r="H249" s="42"/>
      <c r="I249" s="42"/>
      <c r="J249" s="43" t="str">
        <f aca="false">IF(I249="","",ROUND(I249/1.2,2))</f>
        <v/>
      </c>
      <c r="K249" s="42"/>
      <c r="L249" s="43" t="str">
        <f aca="false">IF(OR(I249="",K249=""),"",I249-K249)</f>
        <v/>
      </c>
      <c r="M249" s="43" t="str">
        <f aca="false">IF(L249="","",L249-N249)</f>
        <v/>
      </c>
      <c r="N249" s="45" t="str">
        <f aca="false">IF(L249="","",ROUND(L249/6,2))</f>
        <v/>
      </c>
      <c r="O249" s="44" t="str">
        <f aca="false">IF(OR(K249="",K249=0),"",M249/K249)</f>
        <v/>
      </c>
      <c r="P249" s="42"/>
      <c r="Q249" s="42"/>
      <c r="R249" s="42"/>
      <c r="S249" s="42"/>
      <c r="T249" s="42"/>
      <c r="U249" s="42"/>
      <c r="V249" s="42"/>
      <c r="W249" s="42"/>
      <c r="X249" s="42"/>
    </row>
    <row r="250" customFormat="false" ht="21.75" hidden="false" customHeight="true" outlineLevel="0" collapsed="false">
      <c r="A250" s="37"/>
      <c r="B250" s="37"/>
      <c r="C250" s="37"/>
      <c r="D250" s="37"/>
      <c r="E250" s="37"/>
      <c r="F250" s="37"/>
      <c r="G250" s="37"/>
      <c r="H250" s="37"/>
      <c r="I250" s="37"/>
      <c r="J250" s="38" t="str">
        <f aca="false">IF(I250="","",ROUND(I250/1.2,2))</f>
        <v/>
      </c>
      <c r="K250" s="37"/>
      <c r="L250" s="38" t="str">
        <f aca="false">IF(OR(I250="",K250=""),"",I250-K250)</f>
        <v/>
      </c>
      <c r="M250" s="38" t="str">
        <f aca="false">IF(L250="","",L250-N250)</f>
        <v/>
      </c>
      <c r="N250" s="40" t="str">
        <f aca="false">IF(L250="","",ROUND(L250/6,2))</f>
        <v/>
      </c>
      <c r="O250" s="39" t="str">
        <f aca="false">IF(OR(K250="",K250=0),"",M250/K250)</f>
        <v/>
      </c>
      <c r="P250" s="37"/>
      <c r="Q250" s="37"/>
      <c r="R250" s="37"/>
      <c r="S250" s="37"/>
      <c r="T250" s="37"/>
      <c r="U250" s="37"/>
      <c r="V250" s="37"/>
      <c r="W250" s="37"/>
      <c r="X250" s="37"/>
    </row>
    <row r="251" customFormat="false" ht="21.75" hidden="false" customHeight="true" outlineLevel="0" collapsed="false">
      <c r="A251" s="42"/>
      <c r="B251" s="42"/>
      <c r="C251" s="42"/>
      <c r="D251" s="42"/>
      <c r="E251" s="42"/>
      <c r="F251" s="42"/>
      <c r="G251" s="42"/>
      <c r="H251" s="42"/>
      <c r="I251" s="42"/>
      <c r="J251" s="43" t="str">
        <f aca="false">IF(I251="","",ROUND(I251/1.2,2))</f>
        <v/>
      </c>
      <c r="K251" s="42"/>
      <c r="L251" s="43" t="str">
        <f aca="false">IF(OR(I251="",K251=""),"",I251-K251)</f>
        <v/>
      </c>
      <c r="M251" s="43" t="str">
        <f aca="false">IF(L251="","",L251-N251)</f>
        <v/>
      </c>
      <c r="N251" s="45" t="str">
        <f aca="false">IF(L251="","",ROUND(L251/6,2))</f>
        <v/>
      </c>
      <c r="O251" s="44" t="str">
        <f aca="false">IF(OR(K251="",K251=0),"",M251/K251)</f>
        <v/>
      </c>
      <c r="P251" s="42"/>
      <c r="Q251" s="42"/>
      <c r="R251" s="42"/>
      <c r="S251" s="42"/>
      <c r="T251" s="42"/>
      <c r="U251" s="42"/>
      <c r="V251" s="42"/>
      <c r="W251" s="42"/>
      <c r="X251" s="42"/>
    </row>
    <row r="252" customFormat="false" ht="21.75" hidden="false" customHeight="true" outlineLevel="0" collapsed="false">
      <c r="A252" s="37"/>
      <c r="B252" s="37"/>
      <c r="C252" s="37"/>
      <c r="D252" s="37"/>
      <c r="E252" s="37"/>
      <c r="F252" s="37"/>
      <c r="G252" s="37"/>
      <c r="H252" s="37"/>
      <c r="I252" s="37"/>
      <c r="J252" s="38" t="str">
        <f aca="false">IF(I252="","",ROUND(I252/1.2,2))</f>
        <v/>
      </c>
      <c r="K252" s="37"/>
      <c r="L252" s="38" t="str">
        <f aca="false">IF(OR(I252="",K252=""),"",I252-K252)</f>
        <v/>
      </c>
      <c r="M252" s="38" t="str">
        <f aca="false">IF(L252="","",L252-N252)</f>
        <v/>
      </c>
      <c r="N252" s="40" t="str">
        <f aca="false">IF(L252="","",ROUND(L252/6,2))</f>
        <v/>
      </c>
      <c r="O252" s="39" t="str">
        <f aca="false">IF(OR(K252="",K252=0),"",M252/K252)</f>
        <v/>
      </c>
      <c r="P252" s="37"/>
      <c r="Q252" s="37"/>
      <c r="R252" s="37"/>
      <c r="S252" s="37"/>
      <c r="T252" s="37"/>
      <c r="U252" s="37"/>
      <c r="V252" s="37"/>
      <c r="W252" s="37"/>
      <c r="X252" s="37"/>
    </row>
    <row r="253" customFormat="false" ht="21.75" hidden="false" customHeight="true" outlineLevel="0" collapsed="false">
      <c r="A253" s="42"/>
      <c r="B253" s="42"/>
      <c r="C253" s="42"/>
      <c r="D253" s="42"/>
      <c r="E253" s="42"/>
      <c r="F253" s="42"/>
      <c r="G253" s="42"/>
      <c r="H253" s="42"/>
      <c r="I253" s="42"/>
      <c r="J253" s="43" t="str">
        <f aca="false">IF(I253="","",ROUND(I253/1.2,2))</f>
        <v/>
      </c>
      <c r="K253" s="42"/>
      <c r="L253" s="43" t="str">
        <f aca="false">IF(OR(I253="",K253=""),"",I253-K253)</f>
        <v/>
      </c>
      <c r="M253" s="43" t="str">
        <f aca="false">IF(L253="","",L253-N253)</f>
        <v/>
      </c>
      <c r="N253" s="45" t="str">
        <f aca="false">IF(L253="","",ROUND(L253/6,2))</f>
        <v/>
      </c>
      <c r="O253" s="44" t="str">
        <f aca="false">IF(OR(K253="",K253=0),"",M253/K253)</f>
        <v/>
      </c>
      <c r="P253" s="42"/>
      <c r="Q253" s="42"/>
      <c r="R253" s="42"/>
      <c r="S253" s="42"/>
      <c r="T253" s="42"/>
      <c r="U253" s="42"/>
      <c r="V253" s="42"/>
      <c r="W253" s="42"/>
      <c r="X253" s="42"/>
    </row>
    <row r="254" customFormat="false" ht="21.75" hidden="false" customHeight="true" outlineLevel="0" collapsed="false">
      <c r="A254" s="37"/>
      <c r="B254" s="37"/>
      <c r="C254" s="37"/>
      <c r="D254" s="37"/>
      <c r="E254" s="37"/>
      <c r="F254" s="37"/>
      <c r="G254" s="37"/>
      <c r="H254" s="37"/>
      <c r="I254" s="37"/>
      <c r="J254" s="38" t="str">
        <f aca="false">IF(I254="","",ROUND(I254/1.2,2))</f>
        <v/>
      </c>
      <c r="K254" s="37"/>
      <c r="L254" s="38" t="str">
        <f aca="false">IF(OR(I254="",K254=""),"",I254-K254)</f>
        <v/>
      </c>
      <c r="M254" s="38" t="str">
        <f aca="false">IF(L254="","",L254-N254)</f>
        <v/>
      </c>
      <c r="N254" s="40" t="str">
        <f aca="false">IF(L254="","",ROUND(L254/6,2))</f>
        <v/>
      </c>
      <c r="O254" s="39" t="str">
        <f aca="false">IF(OR(K254="",K254=0),"",M254/K254)</f>
        <v/>
      </c>
      <c r="P254" s="37"/>
      <c r="Q254" s="37"/>
      <c r="R254" s="37"/>
      <c r="S254" s="37"/>
      <c r="T254" s="37"/>
      <c r="U254" s="37"/>
      <c r="V254" s="37"/>
      <c r="W254" s="37"/>
      <c r="X254" s="37"/>
    </row>
    <row r="255" customFormat="false" ht="21.75" hidden="false" customHeight="true" outlineLevel="0" collapsed="false">
      <c r="A255" s="42"/>
      <c r="B255" s="42"/>
      <c r="C255" s="42"/>
      <c r="D255" s="42"/>
      <c r="E255" s="42"/>
      <c r="F255" s="42"/>
      <c r="G255" s="42"/>
      <c r="H255" s="42"/>
      <c r="I255" s="42"/>
      <c r="J255" s="43" t="str">
        <f aca="false">IF(I255="","",ROUND(I255/1.2,2))</f>
        <v/>
      </c>
      <c r="K255" s="42"/>
      <c r="L255" s="43" t="str">
        <f aca="false">IF(OR(I255="",K255=""),"",I255-K255)</f>
        <v/>
      </c>
      <c r="M255" s="43" t="str">
        <f aca="false">IF(L255="","",L255-N255)</f>
        <v/>
      </c>
      <c r="N255" s="45" t="str">
        <f aca="false">IF(L255="","",ROUND(L255/6,2))</f>
        <v/>
      </c>
      <c r="O255" s="44" t="str">
        <f aca="false">IF(OR(K255="",K255=0),"",M255/K255)</f>
        <v/>
      </c>
      <c r="P255" s="42"/>
      <c r="Q255" s="42"/>
      <c r="R255" s="42"/>
      <c r="S255" s="42"/>
      <c r="T255" s="42"/>
      <c r="U255" s="42"/>
      <c r="V255" s="42"/>
      <c r="W255" s="42"/>
      <c r="X255" s="42"/>
    </row>
    <row r="256" customFormat="false" ht="21.75" hidden="false" customHeight="true" outlineLevel="0" collapsed="false">
      <c r="A256" s="37"/>
      <c r="B256" s="37"/>
      <c r="C256" s="37"/>
      <c r="D256" s="37"/>
      <c r="E256" s="37"/>
      <c r="F256" s="37"/>
      <c r="G256" s="37"/>
      <c r="H256" s="37"/>
      <c r="I256" s="37"/>
      <c r="J256" s="38" t="str">
        <f aca="false">IF(I256="","",ROUND(I256/1.2,2))</f>
        <v/>
      </c>
      <c r="K256" s="37"/>
      <c r="L256" s="38" t="str">
        <f aca="false">IF(OR(I256="",K256=""),"",I256-K256)</f>
        <v/>
      </c>
      <c r="M256" s="38" t="str">
        <f aca="false">IF(L256="","",L256-N256)</f>
        <v/>
      </c>
      <c r="N256" s="40" t="str">
        <f aca="false">IF(L256="","",ROUND(L256/6,2))</f>
        <v/>
      </c>
      <c r="O256" s="39" t="str">
        <f aca="false">IF(OR(K256="",K256=0),"",M256/K256)</f>
        <v/>
      </c>
      <c r="P256" s="37"/>
      <c r="Q256" s="37"/>
      <c r="R256" s="37"/>
      <c r="S256" s="37"/>
      <c r="T256" s="37"/>
      <c r="U256" s="37"/>
      <c r="V256" s="37"/>
      <c r="W256" s="37"/>
      <c r="X256" s="37"/>
    </row>
    <row r="257" customFormat="false" ht="21.75" hidden="false" customHeight="true" outlineLevel="0" collapsed="false">
      <c r="A257" s="42"/>
      <c r="B257" s="42"/>
      <c r="C257" s="42"/>
      <c r="D257" s="42"/>
      <c r="E257" s="42"/>
      <c r="F257" s="42"/>
      <c r="G257" s="42"/>
      <c r="H257" s="42"/>
      <c r="I257" s="42"/>
      <c r="J257" s="43" t="str">
        <f aca="false">IF(I257="","",ROUND(I257/1.2,2))</f>
        <v/>
      </c>
      <c r="K257" s="42"/>
      <c r="L257" s="43" t="str">
        <f aca="false">IF(OR(I257="",K257=""),"",I257-K257)</f>
        <v/>
      </c>
      <c r="M257" s="43" t="str">
        <f aca="false">IF(L257="","",L257-N257)</f>
        <v/>
      </c>
      <c r="N257" s="45" t="str">
        <f aca="false">IF(L257="","",ROUND(L257/6,2))</f>
        <v/>
      </c>
      <c r="O257" s="44" t="str">
        <f aca="false">IF(OR(K257="",K257=0),"",M257/K257)</f>
        <v/>
      </c>
      <c r="P257" s="42"/>
      <c r="Q257" s="42"/>
      <c r="R257" s="42"/>
      <c r="S257" s="42"/>
      <c r="T257" s="42"/>
      <c r="U257" s="42"/>
      <c r="V257" s="42"/>
      <c r="W257" s="42"/>
      <c r="X257" s="42"/>
    </row>
    <row r="258" customFormat="false" ht="21.75" hidden="false" customHeight="true" outlineLevel="0" collapsed="false">
      <c r="A258" s="37"/>
      <c r="B258" s="37"/>
      <c r="C258" s="37"/>
      <c r="D258" s="37"/>
      <c r="E258" s="37"/>
      <c r="F258" s="37"/>
      <c r="G258" s="37"/>
      <c r="H258" s="37"/>
      <c r="I258" s="37"/>
      <c r="J258" s="38" t="str">
        <f aca="false">IF(I258="","",ROUND(I258/1.2,2))</f>
        <v/>
      </c>
      <c r="K258" s="37"/>
      <c r="L258" s="38" t="str">
        <f aca="false">IF(OR(I258="",K258=""),"",I258-K258)</f>
        <v/>
      </c>
      <c r="M258" s="38" t="str">
        <f aca="false">IF(L258="","",L258-N258)</f>
        <v/>
      </c>
      <c r="N258" s="40" t="str">
        <f aca="false">IF(L258="","",ROUND(L258/6,2))</f>
        <v/>
      </c>
      <c r="O258" s="39" t="str">
        <f aca="false">IF(OR(K258="",K258=0),"",M258/K258)</f>
        <v/>
      </c>
      <c r="P258" s="37"/>
      <c r="Q258" s="37"/>
      <c r="R258" s="37"/>
      <c r="S258" s="37"/>
      <c r="T258" s="37"/>
      <c r="U258" s="37"/>
      <c r="V258" s="37"/>
      <c r="W258" s="37"/>
      <c r="X258" s="37"/>
    </row>
    <row r="259" customFormat="false" ht="21.75" hidden="false" customHeight="true" outlineLevel="0" collapsed="false">
      <c r="A259" s="42"/>
      <c r="B259" s="42"/>
      <c r="C259" s="42"/>
      <c r="D259" s="42"/>
      <c r="E259" s="42"/>
      <c r="F259" s="42"/>
      <c r="G259" s="42"/>
      <c r="H259" s="42"/>
      <c r="I259" s="42"/>
      <c r="J259" s="43" t="str">
        <f aca="false">IF(I259="","",ROUND(I259/1.2,2))</f>
        <v/>
      </c>
      <c r="K259" s="42"/>
      <c r="L259" s="43" t="str">
        <f aca="false">IF(OR(I259="",K259=""),"",I259-K259)</f>
        <v/>
      </c>
      <c r="M259" s="43" t="str">
        <f aca="false">IF(L259="","",L259-N259)</f>
        <v/>
      </c>
      <c r="N259" s="45" t="str">
        <f aca="false">IF(L259="","",ROUND(L259/6,2))</f>
        <v/>
      </c>
      <c r="O259" s="44" t="str">
        <f aca="false">IF(OR(K259="",K259=0),"",M259/K259)</f>
        <v/>
      </c>
      <c r="P259" s="42"/>
      <c r="Q259" s="42"/>
      <c r="R259" s="42"/>
      <c r="S259" s="42"/>
      <c r="T259" s="42"/>
      <c r="U259" s="42"/>
      <c r="V259" s="42"/>
      <c r="W259" s="42"/>
      <c r="X259" s="42"/>
    </row>
    <row r="260" customFormat="false" ht="21.75" hidden="false" customHeight="true" outlineLevel="0" collapsed="false">
      <c r="A260" s="37"/>
      <c r="B260" s="37"/>
      <c r="C260" s="37"/>
      <c r="D260" s="37"/>
      <c r="E260" s="37"/>
      <c r="F260" s="37"/>
      <c r="G260" s="37"/>
      <c r="H260" s="37"/>
      <c r="I260" s="37"/>
      <c r="J260" s="38" t="str">
        <f aca="false">IF(I260="","",ROUND(I260/1.2,2))</f>
        <v/>
      </c>
      <c r="K260" s="37"/>
      <c r="L260" s="38" t="str">
        <f aca="false">IF(OR(I260="",K260=""),"",I260-K260)</f>
        <v/>
      </c>
      <c r="M260" s="38" t="str">
        <f aca="false">IF(L260="","",L260-N260)</f>
        <v/>
      </c>
      <c r="N260" s="40" t="str">
        <f aca="false">IF(L260="","",ROUND(L260/6,2))</f>
        <v/>
      </c>
      <c r="O260" s="39" t="str">
        <f aca="false">IF(OR(K260="",K260=0),"",M260/K260)</f>
        <v/>
      </c>
      <c r="P260" s="37"/>
      <c r="Q260" s="37"/>
      <c r="R260" s="37"/>
      <c r="S260" s="37"/>
      <c r="T260" s="37"/>
      <c r="U260" s="37"/>
      <c r="V260" s="37"/>
      <c r="W260" s="37"/>
      <c r="X260" s="37"/>
    </row>
    <row r="261" customFormat="false" ht="21.75" hidden="false" customHeight="true" outlineLevel="0" collapsed="false">
      <c r="A261" s="42"/>
      <c r="B261" s="42"/>
      <c r="C261" s="42"/>
      <c r="D261" s="42"/>
      <c r="E261" s="42"/>
      <c r="F261" s="42"/>
      <c r="G261" s="42"/>
      <c r="H261" s="42"/>
      <c r="I261" s="42"/>
      <c r="J261" s="43" t="str">
        <f aca="false">IF(I261="","",ROUND(I261/1.2,2))</f>
        <v/>
      </c>
      <c r="K261" s="42"/>
      <c r="L261" s="43" t="str">
        <f aca="false">IF(OR(I261="",K261=""),"",I261-K261)</f>
        <v/>
      </c>
      <c r="M261" s="43" t="str">
        <f aca="false">IF(L261="","",L261-N261)</f>
        <v/>
      </c>
      <c r="N261" s="45" t="str">
        <f aca="false">IF(L261="","",ROUND(L261/6,2))</f>
        <v/>
      </c>
      <c r="O261" s="44" t="str">
        <f aca="false">IF(OR(K261="",K261=0),"",M261/K261)</f>
        <v/>
      </c>
      <c r="P261" s="42"/>
      <c r="Q261" s="42"/>
      <c r="R261" s="42"/>
      <c r="S261" s="42"/>
      <c r="T261" s="42"/>
      <c r="U261" s="42"/>
      <c r="V261" s="42"/>
      <c r="W261" s="42"/>
      <c r="X261" s="42"/>
    </row>
    <row r="262" customFormat="false" ht="21.75" hidden="false" customHeight="true" outlineLevel="0" collapsed="false">
      <c r="A262" s="37"/>
      <c r="B262" s="37"/>
      <c r="C262" s="37"/>
      <c r="D262" s="37"/>
      <c r="E262" s="37"/>
      <c r="F262" s="37"/>
      <c r="G262" s="37"/>
      <c r="H262" s="37"/>
      <c r="I262" s="37"/>
      <c r="J262" s="38" t="str">
        <f aca="false">IF(I262="","",ROUND(I262/1.2,2))</f>
        <v/>
      </c>
      <c r="K262" s="37"/>
      <c r="L262" s="38" t="str">
        <f aca="false">IF(OR(I262="",K262=""),"",I262-K262)</f>
        <v/>
      </c>
      <c r="M262" s="38" t="str">
        <f aca="false">IF(L262="","",L262-N262)</f>
        <v/>
      </c>
      <c r="N262" s="40" t="str">
        <f aca="false">IF(L262="","",ROUND(L262/6,2))</f>
        <v/>
      </c>
      <c r="O262" s="39" t="str">
        <f aca="false">IF(OR(K262="",K262=0),"",M262/K262)</f>
        <v/>
      </c>
      <c r="P262" s="37"/>
      <c r="Q262" s="37"/>
      <c r="R262" s="37"/>
      <c r="S262" s="37"/>
      <c r="T262" s="37"/>
      <c r="U262" s="37"/>
      <c r="V262" s="37"/>
      <c r="W262" s="37"/>
      <c r="X262" s="37"/>
    </row>
    <row r="263" customFormat="false" ht="21.75" hidden="false" customHeight="true" outlineLevel="0" collapsed="false">
      <c r="A263" s="42"/>
      <c r="B263" s="42"/>
      <c r="C263" s="42"/>
      <c r="D263" s="42"/>
      <c r="E263" s="42"/>
      <c r="F263" s="42"/>
      <c r="G263" s="42"/>
      <c r="H263" s="42"/>
      <c r="I263" s="42"/>
      <c r="J263" s="43" t="str">
        <f aca="false">IF(I263="","",ROUND(I263/1.2,2))</f>
        <v/>
      </c>
      <c r="K263" s="42"/>
      <c r="L263" s="43" t="str">
        <f aca="false">IF(OR(I263="",K263=""),"",I263-K263)</f>
        <v/>
      </c>
      <c r="M263" s="43" t="str">
        <f aca="false">IF(L263="","",L263-N263)</f>
        <v/>
      </c>
      <c r="N263" s="45" t="str">
        <f aca="false">IF(L263="","",ROUND(L263/6,2))</f>
        <v/>
      </c>
      <c r="O263" s="44" t="str">
        <f aca="false">IF(OR(K263="",K263=0),"",M263/K263)</f>
        <v/>
      </c>
      <c r="P263" s="42"/>
      <c r="Q263" s="42"/>
      <c r="R263" s="42"/>
      <c r="S263" s="42"/>
      <c r="T263" s="42"/>
      <c r="U263" s="42"/>
      <c r="V263" s="42"/>
      <c r="W263" s="42"/>
      <c r="X263" s="42"/>
    </row>
    <row r="264" customFormat="false" ht="21.75" hidden="false" customHeight="true" outlineLevel="0" collapsed="false">
      <c r="A264" s="37"/>
      <c r="B264" s="37"/>
      <c r="C264" s="37"/>
      <c r="D264" s="37"/>
      <c r="E264" s="37"/>
      <c r="F264" s="37"/>
      <c r="G264" s="37"/>
      <c r="H264" s="37"/>
      <c r="I264" s="37"/>
      <c r="J264" s="38" t="str">
        <f aca="false">IF(I264="","",ROUND(I264/1.2,2))</f>
        <v/>
      </c>
      <c r="K264" s="37"/>
      <c r="L264" s="38" t="str">
        <f aca="false">IF(OR(I264="",K264=""),"",I264-K264)</f>
        <v/>
      </c>
      <c r="M264" s="38" t="str">
        <f aca="false">IF(L264="","",L264-N264)</f>
        <v/>
      </c>
      <c r="N264" s="40" t="str">
        <f aca="false">IF(L264="","",ROUND(L264/6,2))</f>
        <v/>
      </c>
      <c r="O264" s="39" t="str">
        <f aca="false">IF(OR(K264="",K264=0),"",M264/K264)</f>
        <v/>
      </c>
      <c r="P264" s="37"/>
      <c r="Q264" s="37"/>
      <c r="R264" s="37"/>
      <c r="S264" s="37"/>
      <c r="T264" s="37"/>
      <c r="U264" s="37"/>
      <c r="V264" s="37"/>
      <c r="W264" s="37"/>
      <c r="X264" s="37"/>
    </row>
    <row r="265" customFormat="false" ht="21.75" hidden="false" customHeight="true" outlineLevel="0" collapsed="false">
      <c r="A265" s="42"/>
      <c r="B265" s="42"/>
      <c r="C265" s="42"/>
      <c r="D265" s="42"/>
      <c r="E265" s="42"/>
      <c r="F265" s="42"/>
      <c r="G265" s="42"/>
      <c r="H265" s="42"/>
      <c r="I265" s="42"/>
      <c r="J265" s="43" t="str">
        <f aca="false">IF(I265="","",ROUND(I265/1.2,2))</f>
        <v/>
      </c>
      <c r="K265" s="42"/>
      <c r="L265" s="43" t="str">
        <f aca="false">IF(OR(I265="",K265=""),"",I265-K265)</f>
        <v/>
      </c>
      <c r="M265" s="43" t="str">
        <f aca="false">IF(L265="","",L265-N265)</f>
        <v/>
      </c>
      <c r="N265" s="45" t="str">
        <f aca="false">IF(L265="","",ROUND(L265/6,2))</f>
        <v/>
      </c>
      <c r="O265" s="44" t="str">
        <f aca="false">IF(OR(K265="",K265=0),"",M265/K265)</f>
        <v/>
      </c>
      <c r="P265" s="42"/>
      <c r="Q265" s="42"/>
      <c r="R265" s="42"/>
      <c r="S265" s="42"/>
      <c r="T265" s="42"/>
      <c r="U265" s="42"/>
      <c r="V265" s="42"/>
      <c r="W265" s="42"/>
      <c r="X265" s="42"/>
    </row>
    <row r="266" customFormat="false" ht="21.75" hidden="false" customHeight="true" outlineLevel="0" collapsed="false">
      <c r="A266" s="37"/>
      <c r="B266" s="37"/>
      <c r="C266" s="37"/>
      <c r="D266" s="37"/>
      <c r="E266" s="37"/>
      <c r="F266" s="37"/>
      <c r="G266" s="37"/>
      <c r="H266" s="37"/>
      <c r="I266" s="37"/>
      <c r="J266" s="38" t="str">
        <f aca="false">IF(I266="","",ROUND(I266/1.2,2))</f>
        <v/>
      </c>
      <c r="K266" s="37"/>
      <c r="L266" s="38" t="str">
        <f aca="false">IF(OR(I266="",K266=""),"",I266-K266)</f>
        <v/>
      </c>
      <c r="M266" s="38" t="str">
        <f aca="false">IF(L266="","",L266-N266)</f>
        <v/>
      </c>
      <c r="N266" s="40" t="str">
        <f aca="false">IF(L266="","",ROUND(L266/6,2))</f>
        <v/>
      </c>
      <c r="O266" s="39" t="str">
        <f aca="false">IF(OR(K266="",K266=0),"",M266/K266)</f>
        <v/>
      </c>
      <c r="P266" s="37"/>
      <c r="Q266" s="37"/>
      <c r="R266" s="37"/>
      <c r="S266" s="37"/>
      <c r="T266" s="37"/>
      <c r="U266" s="37"/>
      <c r="V266" s="37"/>
      <c r="W266" s="37"/>
      <c r="X266" s="37"/>
    </row>
    <row r="267" customFormat="false" ht="21.75" hidden="false" customHeight="true" outlineLevel="0" collapsed="false">
      <c r="A267" s="42"/>
      <c r="B267" s="42"/>
      <c r="C267" s="42"/>
      <c r="D267" s="42"/>
      <c r="E267" s="42"/>
      <c r="F267" s="42"/>
      <c r="G267" s="42"/>
      <c r="H267" s="42"/>
      <c r="I267" s="42"/>
      <c r="J267" s="43" t="str">
        <f aca="false">IF(I267="","",ROUND(I267/1.2,2))</f>
        <v/>
      </c>
      <c r="K267" s="42"/>
      <c r="L267" s="43" t="str">
        <f aca="false">IF(OR(I267="",K267=""),"",I267-K267)</f>
        <v/>
      </c>
      <c r="M267" s="43" t="str">
        <f aca="false">IF(L267="","",L267-N267)</f>
        <v/>
      </c>
      <c r="N267" s="45" t="str">
        <f aca="false">IF(L267="","",ROUND(L267/6,2))</f>
        <v/>
      </c>
      <c r="O267" s="44" t="str">
        <f aca="false">IF(OR(K267="",K267=0),"",M267/K267)</f>
        <v/>
      </c>
      <c r="P267" s="42"/>
      <c r="Q267" s="42"/>
      <c r="R267" s="42"/>
      <c r="S267" s="42"/>
      <c r="T267" s="42"/>
      <c r="U267" s="42"/>
      <c r="V267" s="42"/>
      <c r="W267" s="42"/>
      <c r="X267" s="42"/>
    </row>
    <row r="268" customFormat="false" ht="21.75" hidden="false" customHeight="true" outlineLevel="0" collapsed="false">
      <c r="A268" s="37"/>
      <c r="B268" s="37"/>
      <c r="C268" s="37"/>
      <c r="D268" s="37"/>
      <c r="E268" s="37"/>
      <c r="F268" s="37"/>
      <c r="G268" s="37"/>
      <c r="H268" s="37"/>
      <c r="I268" s="37"/>
      <c r="J268" s="38" t="str">
        <f aca="false">IF(I268="","",ROUND(I268/1.2,2))</f>
        <v/>
      </c>
      <c r="K268" s="37"/>
      <c r="L268" s="38" t="str">
        <f aca="false">IF(OR(I268="",K268=""),"",I268-K268)</f>
        <v/>
      </c>
      <c r="M268" s="38" t="str">
        <f aca="false">IF(L268="","",L268-N268)</f>
        <v/>
      </c>
      <c r="N268" s="40" t="str">
        <f aca="false">IF(L268="","",ROUND(L268/6,2))</f>
        <v/>
      </c>
      <c r="O268" s="39" t="str">
        <f aca="false">IF(OR(K268="",K268=0),"",M268/K268)</f>
        <v/>
      </c>
      <c r="P268" s="37"/>
      <c r="Q268" s="37"/>
      <c r="R268" s="37"/>
      <c r="S268" s="37"/>
      <c r="T268" s="37"/>
      <c r="U268" s="37"/>
      <c r="V268" s="37"/>
      <c r="W268" s="37"/>
      <c r="X268" s="37"/>
    </row>
    <row r="269" customFormat="false" ht="21.75" hidden="false" customHeight="true" outlineLevel="0" collapsed="false">
      <c r="A269" s="42"/>
      <c r="B269" s="42"/>
      <c r="C269" s="42"/>
      <c r="D269" s="42"/>
      <c r="E269" s="42"/>
      <c r="F269" s="42"/>
      <c r="G269" s="42"/>
      <c r="H269" s="42"/>
      <c r="I269" s="42"/>
      <c r="J269" s="43" t="str">
        <f aca="false">IF(I269="","",ROUND(I269/1.2,2))</f>
        <v/>
      </c>
      <c r="K269" s="42"/>
      <c r="L269" s="43" t="str">
        <f aca="false">IF(OR(I269="",K269=""),"",I269-K269)</f>
        <v/>
      </c>
      <c r="M269" s="43" t="str">
        <f aca="false">IF(L269="","",L269-N269)</f>
        <v/>
      </c>
      <c r="N269" s="45" t="str">
        <f aca="false">IF(L269="","",ROUND(L269/6,2))</f>
        <v/>
      </c>
      <c r="O269" s="44" t="str">
        <f aca="false">IF(OR(K269="",K269=0),"",M269/K269)</f>
        <v/>
      </c>
      <c r="P269" s="42"/>
      <c r="Q269" s="42"/>
      <c r="R269" s="42"/>
      <c r="S269" s="42"/>
      <c r="T269" s="42"/>
      <c r="U269" s="42"/>
      <c r="V269" s="42"/>
      <c r="W269" s="42"/>
      <c r="X269" s="42"/>
    </row>
    <row r="270" customFormat="false" ht="21.75" hidden="false" customHeight="true" outlineLevel="0" collapsed="false">
      <c r="A270" s="37"/>
      <c r="B270" s="37"/>
      <c r="C270" s="37"/>
      <c r="D270" s="37"/>
      <c r="E270" s="37"/>
      <c r="F270" s="37"/>
      <c r="G270" s="37"/>
      <c r="H270" s="37"/>
      <c r="I270" s="37"/>
      <c r="J270" s="38" t="str">
        <f aca="false">IF(I270="","",ROUND(I270/1.2,2))</f>
        <v/>
      </c>
      <c r="K270" s="37"/>
      <c r="L270" s="38" t="str">
        <f aca="false">IF(OR(I270="",K270=""),"",I270-K270)</f>
        <v/>
      </c>
      <c r="M270" s="38" t="str">
        <f aca="false">IF(L270="","",L270-N270)</f>
        <v/>
      </c>
      <c r="N270" s="40" t="str">
        <f aca="false">IF(L270="","",ROUND(L270/6,2))</f>
        <v/>
      </c>
      <c r="O270" s="39" t="str">
        <f aca="false">IF(OR(K270="",K270=0),"",M270/K270)</f>
        <v/>
      </c>
      <c r="P270" s="37"/>
      <c r="Q270" s="37"/>
      <c r="R270" s="37"/>
      <c r="S270" s="37"/>
      <c r="T270" s="37"/>
      <c r="U270" s="37"/>
      <c r="V270" s="37"/>
      <c r="W270" s="37"/>
      <c r="X270" s="37"/>
    </row>
    <row r="271" customFormat="false" ht="21.75" hidden="false" customHeight="true" outlineLevel="0" collapsed="false">
      <c r="A271" s="42"/>
      <c r="B271" s="42"/>
      <c r="C271" s="42"/>
      <c r="D271" s="42"/>
      <c r="E271" s="42"/>
      <c r="F271" s="42"/>
      <c r="G271" s="42"/>
      <c r="H271" s="42"/>
      <c r="I271" s="42"/>
      <c r="J271" s="43" t="str">
        <f aca="false">IF(I271="","",ROUND(I271/1.2,2))</f>
        <v/>
      </c>
      <c r="K271" s="42"/>
      <c r="L271" s="43" t="str">
        <f aca="false">IF(OR(I271="",K271=""),"",I271-K271)</f>
        <v/>
      </c>
      <c r="M271" s="43" t="str">
        <f aca="false">IF(L271="","",L271-N271)</f>
        <v/>
      </c>
      <c r="N271" s="45" t="str">
        <f aca="false">IF(L271="","",ROUND(L271/6,2))</f>
        <v/>
      </c>
      <c r="O271" s="44" t="str">
        <f aca="false">IF(OR(K271="",K271=0),"",M271/K271)</f>
        <v/>
      </c>
      <c r="P271" s="42"/>
      <c r="Q271" s="42"/>
      <c r="R271" s="42"/>
      <c r="S271" s="42"/>
      <c r="T271" s="42"/>
      <c r="U271" s="42"/>
      <c r="V271" s="42"/>
      <c r="W271" s="42"/>
      <c r="X271" s="42"/>
    </row>
    <row r="272" customFormat="false" ht="21.75" hidden="false" customHeight="true" outlineLevel="0" collapsed="false">
      <c r="A272" s="37"/>
      <c r="B272" s="37"/>
      <c r="C272" s="37"/>
      <c r="D272" s="37"/>
      <c r="E272" s="37"/>
      <c r="F272" s="37"/>
      <c r="G272" s="37"/>
      <c r="H272" s="37"/>
      <c r="I272" s="37"/>
      <c r="J272" s="38" t="str">
        <f aca="false">IF(I272="","",ROUND(I272/1.2,2))</f>
        <v/>
      </c>
      <c r="K272" s="37"/>
      <c r="L272" s="38" t="str">
        <f aca="false">IF(OR(I272="",K272=""),"",I272-K272)</f>
        <v/>
      </c>
      <c r="M272" s="38" t="str">
        <f aca="false">IF(L272="","",L272-N272)</f>
        <v/>
      </c>
      <c r="N272" s="40" t="str">
        <f aca="false">IF(L272="","",ROUND(L272/6,2))</f>
        <v/>
      </c>
      <c r="O272" s="39" t="str">
        <f aca="false">IF(OR(K272="",K272=0),"",M272/K272)</f>
        <v/>
      </c>
      <c r="P272" s="37"/>
      <c r="Q272" s="37"/>
      <c r="R272" s="37"/>
      <c r="S272" s="37"/>
      <c r="T272" s="37"/>
      <c r="U272" s="37"/>
      <c r="V272" s="37"/>
      <c r="W272" s="37"/>
      <c r="X272" s="37"/>
    </row>
    <row r="273" customFormat="false" ht="21.75" hidden="false" customHeight="true" outlineLevel="0" collapsed="false">
      <c r="A273" s="42"/>
      <c r="B273" s="42"/>
      <c r="C273" s="42"/>
      <c r="D273" s="42"/>
      <c r="E273" s="42"/>
      <c r="F273" s="42"/>
      <c r="G273" s="42"/>
      <c r="H273" s="42"/>
      <c r="I273" s="42"/>
      <c r="J273" s="43" t="str">
        <f aca="false">IF(I273="","",ROUND(I273/1.2,2))</f>
        <v/>
      </c>
      <c r="K273" s="42"/>
      <c r="L273" s="43" t="str">
        <f aca="false">IF(OR(I273="",K273=""),"",I273-K273)</f>
        <v/>
      </c>
      <c r="M273" s="43" t="str">
        <f aca="false">IF(L273="","",L273-N273)</f>
        <v/>
      </c>
      <c r="N273" s="45" t="str">
        <f aca="false">IF(L273="","",ROUND(L273/6,2))</f>
        <v/>
      </c>
      <c r="O273" s="44" t="str">
        <f aca="false">IF(OR(K273="",K273=0),"",M273/K273)</f>
        <v/>
      </c>
      <c r="P273" s="42"/>
      <c r="Q273" s="42"/>
      <c r="R273" s="42"/>
      <c r="S273" s="42"/>
      <c r="T273" s="42"/>
      <c r="U273" s="42"/>
      <c r="V273" s="42"/>
      <c r="W273" s="42"/>
      <c r="X273" s="42"/>
    </row>
    <row r="274" customFormat="false" ht="21.75" hidden="false" customHeight="true" outlineLevel="0" collapsed="false">
      <c r="A274" s="37"/>
      <c r="B274" s="37"/>
      <c r="C274" s="37"/>
      <c r="D274" s="37"/>
      <c r="E274" s="37"/>
      <c r="F274" s="37"/>
      <c r="G274" s="37"/>
      <c r="H274" s="37"/>
      <c r="I274" s="37"/>
      <c r="J274" s="38" t="str">
        <f aca="false">IF(I274="","",ROUND(I274/1.2,2))</f>
        <v/>
      </c>
      <c r="K274" s="37"/>
      <c r="L274" s="38" t="str">
        <f aca="false">IF(OR(I274="",K274=""),"",I274-K274)</f>
        <v/>
      </c>
      <c r="M274" s="38" t="str">
        <f aca="false">IF(L274="","",L274-N274)</f>
        <v/>
      </c>
      <c r="N274" s="40" t="str">
        <f aca="false">IF(L274="","",ROUND(L274/6,2))</f>
        <v/>
      </c>
      <c r="O274" s="39" t="str">
        <f aca="false">IF(OR(K274="",K274=0),"",M274/K274)</f>
        <v/>
      </c>
      <c r="P274" s="37"/>
      <c r="Q274" s="37"/>
      <c r="R274" s="37"/>
      <c r="S274" s="37"/>
      <c r="T274" s="37"/>
      <c r="U274" s="37"/>
      <c r="V274" s="37"/>
      <c r="W274" s="37"/>
      <c r="X274" s="37"/>
    </row>
    <row r="275" customFormat="false" ht="21.75" hidden="false" customHeight="true" outlineLevel="0" collapsed="false">
      <c r="A275" s="42"/>
      <c r="B275" s="42"/>
      <c r="C275" s="42"/>
      <c r="D275" s="42"/>
      <c r="E275" s="42"/>
      <c r="F275" s="42"/>
      <c r="G275" s="42"/>
      <c r="H275" s="42"/>
      <c r="I275" s="42"/>
      <c r="J275" s="43" t="str">
        <f aca="false">IF(I275="","",ROUND(I275/1.2,2))</f>
        <v/>
      </c>
      <c r="K275" s="42"/>
      <c r="L275" s="43" t="str">
        <f aca="false">IF(OR(I275="",K275=""),"",I275-K275)</f>
        <v/>
      </c>
      <c r="M275" s="43" t="str">
        <f aca="false">IF(L275="","",L275-N275)</f>
        <v/>
      </c>
      <c r="N275" s="45" t="str">
        <f aca="false">IF(L275="","",ROUND(L275/6,2))</f>
        <v/>
      </c>
      <c r="O275" s="44" t="str">
        <f aca="false">IF(OR(K275="",K275=0),"",M275/K275)</f>
        <v/>
      </c>
      <c r="P275" s="42"/>
      <c r="Q275" s="42"/>
      <c r="R275" s="42"/>
      <c r="S275" s="42"/>
      <c r="T275" s="42"/>
      <c r="U275" s="42"/>
      <c r="V275" s="42"/>
      <c r="W275" s="42"/>
      <c r="X275" s="42"/>
    </row>
    <row r="276" customFormat="false" ht="21.75" hidden="false" customHeight="true" outlineLevel="0" collapsed="false">
      <c r="A276" s="37"/>
      <c r="B276" s="37"/>
      <c r="C276" s="37"/>
      <c r="D276" s="37"/>
      <c r="E276" s="37"/>
      <c r="F276" s="37"/>
      <c r="G276" s="37"/>
      <c r="H276" s="37"/>
      <c r="I276" s="37"/>
      <c r="J276" s="38" t="str">
        <f aca="false">IF(I276="","",ROUND(I276/1.2,2))</f>
        <v/>
      </c>
      <c r="K276" s="37"/>
      <c r="L276" s="38" t="str">
        <f aca="false">IF(OR(I276="",K276=""),"",I276-K276)</f>
        <v/>
      </c>
      <c r="M276" s="38" t="str">
        <f aca="false">IF(L276="","",L276-N276)</f>
        <v/>
      </c>
      <c r="N276" s="40" t="str">
        <f aca="false">IF(L276="","",ROUND(L276/6,2))</f>
        <v/>
      </c>
      <c r="O276" s="39" t="str">
        <f aca="false">IF(OR(K276="",K276=0),"",M276/K276)</f>
        <v/>
      </c>
      <c r="P276" s="37"/>
      <c r="Q276" s="37"/>
      <c r="R276" s="37"/>
      <c r="S276" s="37"/>
      <c r="T276" s="37"/>
      <c r="U276" s="37"/>
      <c r="V276" s="37"/>
      <c r="W276" s="37"/>
      <c r="X276" s="37"/>
    </row>
    <row r="277" customFormat="false" ht="21.75" hidden="false" customHeight="true" outlineLevel="0" collapsed="false">
      <c r="A277" s="42"/>
      <c r="B277" s="42"/>
      <c r="C277" s="42"/>
      <c r="D277" s="42"/>
      <c r="E277" s="42"/>
      <c r="F277" s="42"/>
      <c r="G277" s="42"/>
      <c r="H277" s="42"/>
      <c r="I277" s="42"/>
      <c r="J277" s="43" t="str">
        <f aca="false">IF(I277="","",ROUND(I277/1.2,2))</f>
        <v/>
      </c>
      <c r="K277" s="42"/>
      <c r="L277" s="43" t="str">
        <f aca="false">IF(OR(I277="",K277=""),"",I277-K277)</f>
        <v/>
      </c>
      <c r="M277" s="43" t="str">
        <f aca="false">IF(L277="","",L277-N277)</f>
        <v/>
      </c>
      <c r="N277" s="45" t="str">
        <f aca="false">IF(L277="","",ROUND(L277/6,2))</f>
        <v/>
      </c>
      <c r="O277" s="44" t="str">
        <f aca="false">IF(OR(K277="",K277=0),"",M277/K277)</f>
        <v/>
      </c>
      <c r="P277" s="42"/>
      <c r="Q277" s="42"/>
      <c r="R277" s="42"/>
      <c r="S277" s="42"/>
      <c r="T277" s="42"/>
      <c r="U277" s="42"/>
      <c r="V277" s="42"/>
      <c r="W277" s="42"/>
      <c r="X277" s="42"/>
    </row>
    <row r="278" customFormat="false" ht="21.75" hidden="false" customHeight="true" outlineLevel="0" collapsed="false">
      <c r="A278" s="37"/>
      <c r="B278" s="37"/>
      <c r="C278" s="37"/>
      <c r="D278" s="37"/>
      <c r="E278" s="37"/>
      <c r="F278" s="37"/>
      <c r="G278" s="37"/>
      <c r="H278" s="37"/>
      <c r="I278" s="37"/>
      <c r="J278" s="38" t="str">
        <f aca="false">IF(I278="","",ROUND(I278/1.2,2))</f>
        <v/>
      </c>
      <c r="K278" s="37"/>
      <c r="L278" s="38" t="str">
        <f aca="false">IF(OR(I278="",K278=""),"",I278-K278)</f>
        <v/>
      </c>
      <c r="M278" s="38" t="str">
        <f aca="false">IF(L278="","",L278-N278)</f>
        <v/>
      </c>
      <c r="N278" s="40" t="str">
        <f aca="false">IF(L278="","",ROUND(L278/6,2))</f>
        <v/>
      </c>
      <c r="O278" s="39" t="str">
        <f aca="false">IF(OR(K278="",K278=0),"",M278/K278)</f>
        <v/>
      </c>
      <c r="P278" s="37"/>
      <c r="Q278" s="37"/>
      <c r="R278" s="37"/>
      <c r="S278" s="37"/>
      <c r="T278" s="37"/>
      <c r="U278" s="37"/>
      <c r="V278" s="37"/>
      <c r="W278" s="37"/>
      <c r="X278" s="37"/>
    </row>
    <row r="279" customFormat="false" ht="21.75" hidden="false" customHeight="true" outlineLevel="0" collapsed="false">
      <c r="A279" s="42"/>
      <c r="B279" s="42"/>
      <c r="C279" s="42"/>
      <c r="D279" s="42"/>
      <c r="E279" s="42"/>
      <c r="F279" s="42"/>
      <c r="G279" s="42"/>
      <c r="H279" s="42"/>
      <c r="I279" s="42"/>
      <c r="J279" s="43" t="str">
        <f aca="false">IF(I279="","",ROUND(I279/1.2,2))</f>
        <v/>
      </c>
      <c r="K279" s="42"/>
      <c r="L279" s="43" t="str">
        <f aca="false">IF(OR(I279="",K279=""),"",I279-K279)</f>
        <v/>
      </c>
      <c r="M279" s="43" t="str">
        <f aca="false">IF(L279="","",L279-N279)</f>
        <v/>
      </c>
      <c r="N279" s="45" t="str">
        <f aca="false">IF(L279="","",ROUND(L279/6,2))</f>
        <v/>
      </c>
      <c r="O279" s="44" t="str">
        <f aca="false">IF(OR(K279="",K279=0),"",M279/K279)</f>
        <v/>
      </c>
      <c r="P279" s="42"/>
      <c r="Q279" s="42"/>
      <c r="R279" s="42"/>
      <c r="S279" s="42"/>
      <c r="T279" s="42"/>
      <c r="U279" s="42"/>
      <c r="V279" s="42"/>
      <c r="W279" s="42"/>
      <c r="X279" s="42"/>
    </row>
    <row r="280" customFormat="false" ht="21.75" hidden="false" customHeight="true" outlineLevel="0" collapsed="false">
      <c r="A280" s="37"/>
      <c r="B280" s="37"/>
      <c r="C280" s="37"/>
      <c r="D280" s="37"/>
      <c r="E280" s="37"/>
      <c r="F280" s="37"/>
      <c r="G280" s="37"/>
      <c r="H280" s="37"/>
      <c r="I280" s="37"/>
      <c r="J280" s="38" t="str">
        <f aca="false">IF(I280="","",ROUND(I280/1.2,2))</f>
        <v/>
      </c>
      <c r="K280" s="37"/>
      <c r="L280" s="38" t="str">
        <f aca="false">IF(OR(I280="",K280=""),"",I280-K280)</f>
        <v/>
      </c>
      <c r="M280" s="38" t="str">
        <f aca="false">IF(L280="","",L280-N280)</f>
        <v/>
      </c>
      <c r="N280" s="40" t="str">
        <f aca="false">IF(L280="","",ROUND(L280/6,2))</f>
        <v/>
      </c>
      <c r="O280" s="39" t="str">
        <f aca="false">IF(OR(K280="",K280=0),"",M280/K280)</f>
        <v/>
      </c>
      <c r="P280" s="37"/>
      <c r="Q280" s="37"/>
      <c r="R280" s="37"/>
      <c r="S280" s="37"/>
      <c r="T280" s="37"/>
      <c r="U280" s="37"/>
      <c r="V280" s="37"/>
      <c r="W280" s="37"/>
      <c r="X280" s="37"/>
    </row>
    <row r="281" customFormat="false" ht="21.75" hidden="false" customHeight="true" outlineLevel="0" collapsed="false">
      <c r="A281" s="42"/>
      <c r="B281" s="42"/>
      <c r="C281" s="42"/>
      <c r="D281" s="42"/>
      <c r="E281" s="42"/>
      <c r="F281" s="42"/>
      <c r="G281" s="42"/>
      <c r="H281" s="42"/>
      <c r="I281" s="42"/>
      <c r="J281" s="43" t="str">
        <f aca="false">IF(I281="","",ROUND(I281/1.2,2))</f>
        <v/>
      </c>
      <c r="K281" s="42"/>
      <c r="L281" s="43" t="str">
        <f aca="false">IF(OR(I281="",K281=""),"",I281-K281)</f>
        <v/>
      </c>
      <c r="M281" s="43" t="str">
        <f aca="false">IF(L281="","",L281-N281)</f>
        <v/>
      </c>
      <c r="N281" s="45" t="str">
        <f aca="false">IF(L281="","",ROUND(L281/6,2))</f>
        <v/>
      </c>
      <c r="O281" s="44" t="str">
        <f aca="false">IF(OR(K281="",K281=0),"",M281/K281)</f>
        <v/>
      </c>
      <c r="P281" s="42"/>
      <c r="Q281" s="42"/>
      <c r="R281" s="42"/>
      <c r="S281" s="42"/>
      <c r="T281" s="42"/>
      <c r="U281" s="42"/>
      <c r="V281" s="42"/>
      <c r="W281" s="42"/>
      <c r="X281" s="42"/>
    </row>
    <row r="282" customFormat="false" ht="21.75" hidden="false" customHeight="true" outlineLevel="0" collapsed="false">
      <c r="A282" s="37"/>
      <c r="B282" s="37"/>
      <c r="C282" s="37"/>
      <c r="D282" s="37"/>
      <c r="E282" s="37"/>
      <c r="F282" s="37"/>
      <c r="G282" s="37"/>
      <c r="H282" s="37"/>
      <c r="I282" s="37"/>
      <c r="J282" s="38" t="str">
        <f aca="false">IF(I282="","",ROUND(I282/1.2,2))</f>
        <v/>
      </c>
      <c r="K282" s="37"/>
      <c r="L282" s="38" t="str">
        <f aca="false">IF(OR(I282="",K282=""),"",I282-K282)</f>
        <v/>
      </c>
      <c r="M282" s="38" t="str">
        <f aca="false">IF(L282="","",L282-N282)</f>
        <v/>
      </c>
      <c r="N282" s="40" t="str">
        <f aca="false">IF(L282="","",ROUND(L282/6,2))</f>
        <v/>
      </c>
      <c r="O282" s="39" t="str">
        <f aca="false">IF(OR(K282="",K282=0),"",M282/K282)</f>
        <v/>
      </c>
      <c r="P282" s="37"/>
      <c r="Q282" s="37"/>
      <c r="R282" s="37"/>
      <c r="S282" s="37"/>
      <c r="T282" s="37"/>
      <c r="U282" s="37"/>
      <c r="V282" s="37"/>
      <c r="W282" s="37"/>
      <c r="X282" s="37"/>
    </row>
    <row r="283" customFormat="false" ht="21.75" hidden="false" customHeight="true" outlineLevel="0" collapsed="false">
      <c r="A283" s="42"/>
      <c r="B283" s="42"/>
      <c r="C283" s="42"/>
      <c r="D283" s="42"/>
      <c r="E283" s="42"/>
      <c r="F283" s="42"/>
      <c r="G283" s="42"/>
      <c r="H283" s="42"/>
      <c r="I283" s="42"/>
      <c r="J283" s="43" t="str">
        <f aca="false">IF(I283="","",ROUND(I283/1.2,2))</f>
        <v/>
      </c>
      <c r="K283" s="42"/>
      <c r="L283" s="43" t="str">
        <f aca="false">IF(OR(I283="",K283=""),"",I283-K283)</f>
        <v/>
      </c>
      <c r="M283" s="43" t="str">
        <f aca="false">IF(L283="","",L283-N283)</f>
        <v/>
      </c>
      <c r="N283" s="45" t="str">
        <f aca="false">IF(L283="","",ROUND(L283/6,2))</f>
        <v/>
      </c>
      <c r="O283" s="44" t="str">
        <f aca="false">IF(OR(K283="",K283=0),"",M283/K283)</f>
        <v/>
      </c>
      <c r="P283" s="42"/>
      <c r="Q283" s="42"/>
      <c r="R283" s="42"/>
      <c r="S283" s="42"/>
      <c r="T283" s="42"/>
      <c r="U283" s="42"/>
      <c r="V283" s="42"/>
      <c r="W283" s="42"/>
      <c r="X283" s="42"/>
    </row>
    <row r="284" customFormat="false" ht="21.75" hidden="false" customHeight="true" outlineLevel="0" collapsed="false">
      <c r="A284" s="37"/>
      <c r="B284" s="37"/>
      <c r="C284" s="37"/>
      <c r="D284" s="37"/>
      <c r="E284" s="37"/>
      <c r="F284" s="37"/>
      <c r="G284" s="37"/>
      <c r="H284" s="37"/>
      <c r="I284" s="37"/>
      <c r="J284" s="38" t="str">
        <f aca="false">IF(I284="","",ROUND(I284/1.2,2))</f>
        <v/>
      </c>
      <c r="K284" s="37"/>
      <c r="L284" s="38" t="str">
        <f aca="false">IF(OR(I284="",K284=""),"",I284-K284)</f>
        <v/>
      </c>
      <c r="M284" s="38" t="str">
        <f aca="false">IF(L284="","",L284-N284)</f>
        <v/>
      </c>
      <c r="N284" s="40" t="str">
        <f aca="false">IF(L284="","",ROUND(L284/6,2))</f>
        <v/>
      </c>
      <c r="O284" s="39" t="str">
        <f aca="false">IF(OR(K284="",K284=0),"",M284/K284)</f>
        <v/>
      </c>
      <c r="P284" s="37"/>
      <c r="Q284" s="37"/>
      <c r="R284" s="37"/>
      <c r="S284" s="37"/>
      <c r="T284" s="37"/>
      <c r="U284" s="37"/>
      <c r="V284" s="37"/>
      <c r="W284" s="37"/>
      <c r="X284" s="37"/>
    </row>
    <row r="285" customFormat="false" ht="21.75" hidden="false" customHeight="true" outlineLevel="0" collapsed="false">
      <c r="A285" s="42"/>
      <c r="B285" s="42"/>
      <c r="C285" s="42"/>
      <c r="D285" s="42"/>
      <c r="E285" s="42"/>
      <c r="F285" s="42"/>
      <c r="G285" s="42"/>
      <c r="H285" s="42"/>
      <c r="I285" s="42"/>
      <c r="J285" s="43" t="str">
        <f aca="false">IF(I285="","",ROUND(I285/1.2,2))</f>
        <v/>
      </c>
      <c r="K285" s="42"/>
      <c r="L285" s="43" t="str">
        <f aca="false">IF(OR(I285="",K285=""),"",I285-K285)</f>
        <v/>
      </c>
      <c r="M285" s="43" t="str">
        <f aca="false">IF(L285="","",L285-N285)</f>
        <v/>
      </c>
      <c r="N285" s="45" t="str">
        <f aca="false">IF(L285="","",ROUND(L285/6,2))</f>
        <v/>
      </c>
      <c r="O285" s="44" t="str">
        <f aca="false">IF(OR(K285="",K285=0),"",M285/K285)</f>
        <v/>
      </c>
      <c r="P285" s="42"/>
      <c r="Q285" s="42"/>
      <c r="R285" s="42"/>
      <c r="S285" s="42"/>
      <c r="T285" s="42"/>
      <c r="U285" s="42"/>
      <c r="V285" s="42"/>
      <c r="W285" s="42"/>
      <c r="X285" s="42"/>
    </row>
    <row r="286" customFormat="false" ht="21.75" hidden="false" customHeight="true" outlineLevel="0" collapsed="false">
      <c r="A286" s="37"/>
      <c r="B286" s="37"/>
      <c r="C286" s="37"/>
      <c r="D286" s="37"/>
      <c r="E286" s="37"/>
      <c r="F286" s="37"/>
      <c r="G286" s="37"/>
      <c r="H286" s="37"/>
      <c r="I286" s="37"/>
      <c r="J286" s="38" t="str">
        <f aca="false">IF(I286="","",ROUND(I286/1.2,2))</f>
        <v/>
      </c>
      <c r="K286" s="37"/>
      <c r="L286" s="38" t="str">
        <f aca="false">IF(OR(I286="",K286=""),"",I286-K286)</f>
        <v/>
      </c>
      <c r="M286" s="38" t="str">
        <f aca="false">IF(L286="","",L286-N286)</f>
        <v/>
      </c>
      <c r="N286" s="40" t="str">
        <f aca="false">IF(L286="","",ROUND(L286/6,2))</f>
        <v/>
      </c>
      <c r="O286" s="39" t="str">
        <f aca="false">IF(OR(K286="",K286=0),"",M286/K286)</f>
        <v/>
      </c>
      <c r="P286" s="37"/>
      <c r="Q286" s="37"/>
      <c r="R286" s="37"/>
      <c r="S286" s="37"/>
      <c r="T286" s="37"/>
      <c r="U286" s="37"/>
      <c r="V286" s="37"/>
      <c r="W286" s="37"/>
      <c r="X286" s="37"/>
    </row>
    <row r="287" customFormat="false" ht="21.75" hidden="false" customHeight="true" outlineLevel="0" collapsed="false">
      <c r="A287" s="42"/>
      <c r="B287" s="42"/>
      <c r="C287" s="42"/>
      <c r="D287" s="42"/>
      <c r="E287" s="42"/>
      <c r="F287" s="42"/>
      <c r="G287" s="42"/>
      <c r="H287" s="42"/>
      <c r="I287" s="42"/>
      <c r="J287" s="43" t="str">
        <f aca="false">IF(I287="","",ROUND(I287/1.2,2))</f>
        <v/>
      </c>
      <c r="K287" s="42"/>
      <c r="L287" s="43" t="str">
        <f aca="false">IF(OR(I287="",K287=""),"",I287-K287)</f>
        <v/>
      </c>
      <c r="M287" s="43" t="str">
        <f aca="false">IF(L287="","",L287-N287)</f>
        <v/>
      </c>
      <c r="N287" s="45" t="str">
        <f aca="false">IF(L287="","",ROUND(L287/6,2))</f>
        <v/>
      </c>
      <c r="O287" s="44" t="str">
        <f aca="false">IF(OR(K287="",K287=0),"",M287/K287)</f>
        <v/>
      </c>
      <c r="P287" s="42"/>
      <c r="Q287" s="42"/>
      <c r="R287" s="42"/>
      <c r="S287" s="42"/>
      <c r="T287" s="42"/>
      <c r="U287" s="42"/>
      <c r="V287" s="42"/>
      <c r="W287" s="42"/>
      <c r="X287" s="42"/>
    </row>
    <row r="288" customFormat="false" ht="21.75" hidden="false" customHeight="true" outlineLevel="0" collapsed="false">
      <c r="A288" s="37"/>
      <c r="B288" s="37"/>
      <c r="C288" s="37"/>
      <c r="D288" s="37"/>
      <c r="E288" s="37"/>
      <c r="F288" s="37"/>
      <c r="G288" s="37"/>
      <c r="H288" s="37"/>
      <c r="I288" s="37"/>
      <c r="J288" s="38" t="str">
        <f aca="false">IF(I288="","",ROUND(I288/1.2,2))</f>
        <v/>
      </c>
      <c r="K288" s="37"/>
      <c r="L288" s="38" t="str">
        <f aca="false">IF(OR(I288="",K288=""),"",I288-K288)</f>
        <v/>
      </c>
      <c r="M288" s="38" t="str">
        <f aca="false">IF(L288="","",L288-N288)</f>
        <v/>
      </c>
      <c r="N288" s="40" t="str">
        <f aca="false">IF(L288="","",ROUND(L288/6,2))</f>
        <v/>
      </c>
      <c r="O288" s="39" t="str">
        <f aca="false">IF(OR(K288="",K288=0),"",M288/K288)</f>
        <v/>
      </c>
      <c r="P288" s="37"/>
      <c r="Q288" s="37"/>
      <c r="R288" s="37"/>
      <c r="S288" s="37"/>
      <c r="T288" s="37"/>
      <c r="U288" s="37"/>
      <c r="V288" s="37"/>
      <c r="W288" s="37"/>
      <c r="X288" s="37"/>
    </row>
    <row r="289" customFormat="false" ht="21.75" hidden="false" customHeight="true" outlineLevel="0" collapsed="false">
      <c r="A289" s="42"/>
      <c r="B289" s="42"/>
      <c r="C289" s="42"/>
      <c r="D289" s="42"/>
      <c r="E289" s="42"/>
      <c r="F289" s="42"/>
      <c r="G289" s="42"/>
      <c r="H289" s="42"/>
      <c r="I289" s="42"/>
      <c r="J289" s="43" t="str">
        <f aca="false">IF(I289="","",ROUND(I289/1.2,2))</f>
        <v/>
      </c>
      <c r="K289" s="42"/>
      <c r="L289" s="43" t="str">
        <f aca="false">IF(OR(I289="",K289=""),"",I289-K289)</f>
        <v/>
      </c>
      <c r="M289" s="43" t="str">
        <f aca="false">IF(L289="","",L289-N289)</f>
        <v/>
      </c>
      <c r="N289" s="45" t="str">
        <f aca="false">IF(L289="","",ROUND(L289/6,2))</f>
        <v/>
      </c>
      <c r="O289" s="44" t="str">
        <f aca="false">IF(OR(K289="",K289=0),"",M289/K289)</f>
        <v/>
      </c>
      <c r="P289" s="42"/>
      <c r="Q289" s="42"/>
      <c r="R289" s="42"/>
      <c r="S289" s="42"/>
      <c r="T289" s="42"/>
      <c r="U289" s="42"/>
      <c r="V289" s="42"/>
      <c r="W289" s="42"/>
      <c r="X289" s="42"/>
    </row>
    <row r="290" customFormat="false" ht="21.75" hidden="false" customHeight="true" outlineLevel="0" collapsed="false">
      <c r="A290" s="37"/>
      <c r="B290" s="37"/>
      <c r="C290" s="37"/>
      <c r="D290" s="37"/>
      <c r="E290" s="37"/>
      <c r="F290" s="37"/>
      <c r="G290" s="37"/>
      <c r="H290" s="37"/>
      <c r="I290" s="37"/>
      <c r="J290" s="38" t="str">
        <f aca="false">IF(I290="","",ROUND(I290/1.2,2))</f>
        <v/>
      </c>
      <c r="K290" s="37"/>
      <c r="L290" s="38" t="str">
        <f aca="false">IF(OR(I290="",K290=""),"",I290-K290)</f>
        <v/>
      </c>
      <c r="M290" s="38" t="str">
        <f aca="false">IF(L290="","",L290-N290)</f>
        <v/>
      </c>
      <c r="N290" s="40" t="str">
        <f aca="false">IF(L290="","",ROUND(L290/6,2))</f>
        <v/>
      </c>
      <c r="O290" s="39" t="str">
        <f aca="false">IF(OR(K290="",K290=0),"",M290/K290)</f>
        <v/>
      </c>
      <c r="P290" s="37"/>
      <c r="Q290" s="37"/>
      <c r="R290" s="37"/>
      <c r="S290" s="37"/>
      <c r="T290" s="37"/>
      <c r="U290" s="37"/>
      <c r="V290" s="37"/>
      <c r="W290" s="37"/>
      <c r="X290" s="37"/>
    </row>
    <row r="291" customFormat="false" ht="21.75" hidden="false" customHeight="true" outlineLevel="0" collapsed="false">
      <c r="A291" s="42"/>
      <c r="B291" s="42"/>
      <c r="C291" s="42"/>
      <c r="D291" s="42"/>
      <c r="E291" s="42"/>
      <c r="F291" s="42"/>
      <c r="G291" s="42"/>
      <c r="H291" s="42"/>
      <c r="I291" s="42"/>
      <c r="J291" s="43" t="str">
        <f aca="false">IF(I291="","",ROUND(I291/1.2,2))</f>
        <v/>
      </c>
      <c r="K291" s="42"/>
      <c r="L291" s="43" t="str">
        <f aca="false">IF(OR(I291="",K291=""),"",I291-K291)</f>
        <v/>
      </c>
      <c r="M291" s="43" t="str">
        <f aca="false">IF(L291="","",L291-N291)</f>
        <v/>
      </c>
      <c r="N291" s="45" t="str">
        <f aca="false">IF(L291="","",ROUND(L291/6,2))</f>
        <v/>
      </c>
      <c r="O291" s="44" t="str">
        <f aca="false">IF(OR(K291="",K291=0),"",M291/K291)</f>
        <v/>
      </c>
      <c r="P291" s="42"/>
      <c r="Q291" s="42"/>
      <c r="R291" s="42"/>
      <c r="S291" s="42"/>
      <c r="T291" s="42"/>
      <c r="U291" s="42"/>
      <c r="V291" s="42"/>
      <c r="W291" s="42"/>
      <c r="X291" s="42"/>
    </row>
    <row r="292" customFormat="false" ht="21.75" hidden="false" customHeight="true" outlineLevel="0" collapsed="false">
      <c r="A292" s="37"/>
      <c r="B292" s="37"/>
      <c r="C292" s="37"/>
      <c r="D292" s="37"/>
      <c r="E292" s="37"/>
      <c r="F292" s="37"/>
      <c r="G292" s="37"/>
      <c r="H292" s="37"/>
      <c r="I292" s="37"/>
      <c r="J292" s="38" t="str">
        <f aca="false">IF(I292="","",ROUND(I292/1.2,2))</f>
        <v/>
      </c>
      <c r="K292" s="37"/>
      <c r="L292" s="38" t="str">
        <f aca="false">IF(OR(I292="",K292=""),"",I292-K292)</f>
        <v/>
      </c>
      <c r="M292" s="38" t="str">
        <f aca="false">IF(L292="","",L292-N292)</f>
        <v/>
      </c>
      <c r="N292" s="40" t="str">
        <f aca="false">IF(L292="","",ROUND(L292/6,2))</f>
        <v/>
      </c>
      <c r="O292" s="39" t="str">
        <f aca="false">IF(OR(K292="",K292=0),"",M292/K292)</f>
        <v/>
      </c>
      <c r="P292" s="37"/>
      <c r="Q292" s="37"/>
      <c r="R292" s="37"/>
      <c r="S292" s="37"/>
      <c r="T292" s="37"/>
      <c r="U292" s="37"/>
      <c r="V292" s="37"/>
      <c r="W292" s="37"/>
      <c r="X292" s="37"/>
    </row>
    <row r="293" customFormat="false" ht="21.75" hidden="false" customHeight="true" outlineLevel="0" collapsed="false">
      <c r="A293" s="42"/>
      <c r="B293" s="42"/>
      <c r="C293" s="42"/>
      <c r="D293" s="42"/>
      <c r="E293" s="42"/>
      <c r="F293" s="42"/>
      <c r="G293" s="42"/>
      <c r="H293" s="42"/>
      <c r="I293" s="42"/>
      <c r="J293" s="43" t="str">
        <f aca="false">IF(I293="","",ROUND(I293/1.2,2))</f>
        <v/>
      </c>
      <c r="K293" s="42"/>
      <c r="L293" s="43" t="str">
        <f aca="false">IF(OR(I293="",K293=""),"",I293-K293)</f>
        <v/>
      </c>
      <c r="M293" s="43" t="str">
        <f aca="false">IF(L293="","",L293-N293)</f>
        <v/>
      </c>
      <c r="N293" s="45" t="str">
        <f aca="false">IF(L293="","",ROUND(L293/6,2))</f>
        <v/>
      </c>
      <c r="O293" s="44" t="str">
        <f aca="false">IF(OR(K293="",K293=0),"",M293/K293)</f>
        <v/>
      </c>
      <c r="P293" s="42"/>
      <c r="Q293" s="42"/>
      <c r="R293" s="42"/>
      <c r="S293" s="42"/>
      <c r="T293" s="42"/>
      <c r="U293" s="42"/>
      <c r="V293" s="42"/>
      <c r="W293" s="42"/>
      <c r="X293" s="42"/>
    </row>
    <row r="294" customFormat="false" ht="21.75" hidden="false" customHeight="true" outlineLevel="0" collapsed="false">
      <c r="A294" s="37"/>
      <c r="B294" s="37"/>
      <c r="C294" s="37"/>
      <c r="D294" s="37"/>
      <c r="E294" s="37"/>
      <c r="F294" s="37"/>
      <c r="G294" s="37"/>
      <c r="H294" s="37"/>
      <c r="I294" s="37"/>
      <c r="J294" s="38" t="str">
        <f aca="false">IF(I294="","",ROUND(I294/1.2,2))</f>
        <v/>
      </c>
      <c r="K294" s="37"/>
      <c r="L294" s="38" t="str">
        <f aca="false">IF(OR(I294="",K294=""),"",I294-K294)</f>
        <v/>
      </c>
      <c r="M294" s="38" t="str">
        <f aca="false">IF(L294="","",L294-N294)</f>
        <v/>
      </c>
      <c r="N294" s="40" t="str">
        <f aca="false">IF(L294="","",ROUND(L294/6,2))</f>
        <v/>
      </c>
      <c r="O294" s="39" t="str">
        <f aca="false">IF(OR(K294="",K294=0),"",M294/K294)</f>
        <v/>
      </c>
      <c r="P294" s="37"/>
      <c r="Q294" s="37"/>
      <c r="R294" s="37"/>
      <c r="S294" s="37"/>
      <c r="T294" s="37"/>
      <c r="U294" s="37"/>
      <c r="V294" s="37"/>
      <c r="W294" s="37"/>
      <c r="X294" s="37"/>
    </row>
    <row r="295" customFormat="false" ht="21.75" hidden="false" customHeight="true" outlineLevel="0" collapsed="false">
      <c r="A295" s="42"/>
      <c r="B295" s="42"/>
      <c r="C295" s="42"/>
      <c r="D295" s="42"/>
      <c r="E295" s="42"/>
      <c r="F295" s="42"/>
      <c r="G295" s="42"/>
      <c r="H295" s="42"/>
      <c r="I295" s="42"/>
      <c r="J295" s="43" t="str">
        <f aca="false">IF(I295="","",ROUND(I295/1.2,2))</f>
        <v/>
      </c>
      <c r="K295" s="42"/>
      <c r="L295" s="43" t="str">
        <f aca="false">IF(OR(I295="",K295=""),"",I295-K295)</f>
        <v/>
      </c>
      <c r="M295" s="43" t="str">
        <f aca="false">IF(L295="","",L295-N295)</f>
        <v/>
      </c>
      <c r="N295" s="45" t="str">
        <f aca="false">IF(L295="","",ROUND(L295/6,2))</f>
        <v/>
      </c>
      <c r="O295" s="44" t="str">
        <f aca="false">IF(OR(K295="",K295=0),"",M295/K295)</f>
        <v/>
      </c>
      <c r="P295" s="42"/>
      <c r="Q295" s="42"/>
      <c r="R295" s="42"/>
      <c r="S295" s="42"/>
      <c r="T295" s="42"/>
      <c r="U295" s="42"/>
      <c r="V295" s="42"/>
      <c r="W295" s="42"/>
      <c r="X295" s="42"/>
    </row>
    <row r="296" customFormat="false" ht="21.75" hidden="false" customHeight="true" outlineLevel="0" collapsed="false">
      <c r="A296" s="37"/>
      <c r="B296" s="37"/>
      <c r="C296" s="37"/>
      <c r="D296" s="37"/>
      <c r="E296" s="37"/>
      <c r="F296" s="37"/>
      <c r="G296" s="37"/>
      <c r="H296" s="37"/>
      <c r="I296" s="37"/>
      <c r="J296" s="38" t="str">
        <f aca="false">IF(I296="","",ROUND(I296/1.2,2))</f>
        <v/>
      </c>
      <c r="K296" s="37"/>
      <c r="L296" s="38" t="str">
        <f aca="false">IF(OR(I296="",K296=""),"",I296-K296)</f>
        <v/>
      </c>
      <c r="M296" s="38" t="str">
        <f aca="false">IF(L296="","",L296-N296)</f>
        <v/>
      </c>
      <c r="N296" s="40" t="str">
        <f aca="false">IF(L296="","",ROUND(L296/6,2))</f>
        <v/>
      </c>
      <c r="O296" s="39" t="str">
        <f aca="false">IF(OR(K296="",K296=0),"",M296/K296)</f>
        <v/>
      </c>
      <c r="P296" s="37"/>
      <c r="Q296" s="37"/>
      <c r="R296" s="37"/>
      <c r="S296" s="37"/>
      <c r="T296" s="37"/>
      <c r="U296" s="37"/>
      <c r="V296" s="37"/>
      <c r="W296" s="37"/>
      <c r="X296" s="37"/>
    </row>
    <row r="297" customFormat="false" ht="21.75" hidden="false" customHeight="true" outlineLevel="0" collapsed="false">
      <c r="A297" s="42"/>
      <c r="B297" s="42"/>
      <c r="C297" s="42"/>
      <c r="D297" s="42"/>
      <c r="E297" s="42"/>
      <c r="F297" s="42"/>
      <c r="G297" s="42"/>
      <c r="H297" s="42"/>
      <c r="I297" s="42"/>
      <c r="J297" s="43" t="str">
        <f aca="false">IF(I297="","",ROUND(I297/1.2,2))</f>
        <v/>
      </c>
      <c r="K297" s="42"/>
      <c r="L297" s="43" t="str">
        <f aca="false">IF(OR(I297="",K297=""),"",I297-K297)</f>
        <v/>
      </c>
      <c r="M297" s="43" t="str">
        <f aca="false">IF(L297="","",L297-N297)</f>
        <v/>
      </c>
      <c r="N297" s="45" t="str">
        <f aca="false">IF(L297="","",ROUND(L297/6,2))</f>
        <v/>
      </c>
      <c r="O297" s="44" t="str">
        <f aca="false">IF(OR(K297="",K297=0),"",M297/K297)</f>
        <v/>
      </c>
      <c r="P297" s="42"/>
      <c r="Q297" s="42"/>
      <c r="R297" s="42"/>
      <c r="S297" s="42"/>
      <c r="T297" s="42"/>
      <c r="U297" s="42"/>
      <c r="V297" s="42"/>
      <c r="W297" s="42"/>
      <c r="X297" s="42"/>
    </row>
    <row r="298" customFormat="false" ht="21.75" hidden="false" customHeight="true" outlineLevel="0" collapsed="false">
      <c r="A298" s="37"/>
      <c r="B298" s="37"/>
      <c r="C298" s="37"/>
      <c r="D298" s="37"/>
      <c r="E298" s="37"/>
      <c r="F298" s="37"/>
      <c r="G298" s="37"/>
      <c r="H298" s="37"/>
      <c r="I298" s="37"/>
      <c r="J298" s="38" t="str">
        <f aca="false">IF(I298="","",ROUND(I298/1.2,2))</f>
        <v/>
      </c>
      <c r="K298" s="37"/>
      <c r="L298" s="38" t="str">
        <f aca="false">IF(OR(I298="",K298=""),"",I298-K298)</f>
        <v/>
      </c>
      <c r="M298" s="38" t="str">
        <f aca="false">IF(L298="","",L298-N298)</f>
        <v/>
      </c>
      <c r="N298" s="40" t="str">
        <f aca="false">IF(L298="","",ROUND(L298/6,2))</f>
        <v/>
      </c>
      <c r="O298" s="39" t="str">
        <f aca="false">IF(OR(K298="",K298=0),"",M298/K298)</f>
        <v/>
      </c>
      <c r="P298" s="37"/>
      <c r="Q298" s="37"/>
      <c r="R298" s="37"/>
      <c r="S298" s="37"/>
      <c r="T298" s="37"/>
      <c r="U298" s="37"/>
      <c r="V298" s="37"/>
      <c r="W298" s="37"/>
      <c r="X298" s="37"/>
    </row>
    <row r="299" customFormat="false" ht="21.75" hidden="false" customHeight="true" outlineLevel="0" collapsed="false">
      <c r="A299" s="42"/>
      <c r="B299" s="42"/>
      <c r="C299" s="42"/>
      <c r="D299" s="42"/>
      <c r="E299" s="42"/>
      <c r="F299" s="42"/>
      <c r="G299" s="42"/>
      <c r="H299" s="42"/>
      <c r="I299" s="42"/>
      <c r="J299" s="43" t="str">
        <f aca="false">IF(I299="","",ROUND(I299/1.2,2))</f>
        <v/>
      </c>
      <c r="K299" s="42"/>
      <c r="L299" s="43" t="str">
        <f aca="false">IF(OR(I299="",K299=""),"",I299-K299)</f>
        <v/>
      </c>
      <c r="M299" s="43" t="str">
        <f aca="false">IF(L299="","",L299-N299)</f>
        <v/>
      </c>
      <c r="N299" s="45" t="str">
        <f aca="false">IF(L299="","",ROUND(L299/6,2))</f>
        <v/>
      </c>
      <c r="O299" s="44" t="str">
        <f aca="false">IF(OR(K299="",K299=0),"",M299/K299)</f>
        <v/>
      </c>
      <c r="P299" s="42"/>
      <c r="Q299" s="42"/>
      <c r="R299" s="42"/>
      <c r="S299" s="42"/>
      <c r="T299" s="42"/>
      <c r="U299" s="42"/>
      <c r="V299" s="42"/>
      <c r="W299" s="42"/>
      <c r="X299" s="42"/>
    </row>
    <row r="300" customFormat="false" ht="21.75" hidden="false" customHeight="true" outlineLevel="0" collapsed="false">
      <c r="A300" s="37"/>
      <c r="B300" s="37"/>
      <c r="C300" s="37"/>
      <c r="D300" s="37"/>
      <c r="E300" s="37"/>
      <c r="F300" s="37"/>
      <c r="G300" s="37"/>
      <c r="H300" s="37"/>
      <c r="I300" s="37"/>
      <c r="J300" s="38" t="str">
        <f aca="false">IF(I300="","",ROUND(I300/1.2,2))</f>
        <v/>
      </c>
      <c r="K300" s="37"/>
      <c r="L300" s="38" t="str">
        <f aca="false">IF(OR(I300="",K300=""),"",I300-K300)</f>
        <v/>
      </c>
      <c r="M300" s="38" t="str">
        <f aca="false">IF(L300="","",L300-N300)</f>
        <v/>
      </c>
      <c r="N300" s="40" t="str">
        <f aca="false">IF(L300="","",ROUND(L300/6,2))</f>
        <v/>
      </c>
      <c r="O300" s="39" t="str">
        <f aca="false">IF(OR(K300="",K300=0),"",M300/K300)</f>
        <v/>
      </c>
      <c r="P300" s="37"/>
      <c r="Q300" s="37"/>
      <c r="R300" s="37"/>
      <c r="S300" s="37"/>
      <c r="T300" s="37"/>
      <c r="U300" s="37"/>
      <c r="V300" s="37"/>
      <c r="W300" s="37"/>
      <c r="X300" s="37"/>
    </row>
    <row r="301" customFormat="false" ht="21.75" hidden="false" customHeight="true" outlineLevel="0" collapsed="false">
      <c r="A301" s="42"/>
      <c r="B301" s="42"/>
      <c r="C301" s="42"/>
      <c r="D301" s="42"/>
      <c r="E301" s="42"/>
      <c r="F301" s="42"/>
      <c r="G301" s="42"/>
      <c r="H301" s="42"/>
      <c r="I301" s="42"/>
      <c r="J301" s="43" t="str">
        <f aca="false">IF(I301="","",ROUND(I301/1.2,2))</f>
        <v/>
      </c>
      <c r="K301" s="42"/>
      <c r="L301" s="43" t="str">
        <f aca="false">IF(OR(I301="",K301=""),"",I301-K301)</f>
        <v/>
      </c>
      <c r="M301" s="43" t="str">
        <f aca="false">IF(L301="","",L301-N301)</f>
        <v/>
      </c>
      <c r="N301" s="45" t="str">
        <f aca="false">IF(L301="","",ROUND(L301/6,2))</f>
        <v/>
      </c>
      <c r="O301" s="44" t="str">
        <f aca="false">IF(OR(K301="",K301=0),"",M301/K301)</f>
        <v/>
      </c>
      <c r="P301" s="42"/>
      <c r="Q301" s="42"/>
      <c r="R301" s="42"/>
      <c r="S301" s="42"/>
      <c r="T301" s="42"/>
      <c r="U301" s="42"/>
      <c r="V301" s="42"/>
      <c r="W301" s="42"/>
      <c r="X301" s="42"/>
    </row>
    <row r="302" customFormat="false" ht="21.75" hidden="false" customHeight="true" outlineLevel="0" collapsed="false">
      <c r="A302" s="37"/>
      <c r="B302" s="37"/>
      <c r="C302" s="37"/>
      <c r="D302" s="37"/>
      <c r="E302" s="37"/>
      <c r="F302" s="37"/>
      <c r="G302" s="37"/>
      <c r="H302" s="37"/>
      <c r="I302" s="37"/>
      <c r="J302" s="38" t="str">
        <f aca="false">IF(I302="","",ROUND(I302/1.2,2))</f>
        <v/>
      </c>
      <c r="K302" s="37"/>
      <c r="L302" s="38" t="str">
        <f aca="false">IF(OR(I302="",K302=""),"",I302-K302)</f>
        <v/>
      </c>
      <c r="M302" s="38" t="str">
        <f aca="false">IF(L302="","",L302-N302)</f>
        <v/>
      </c>
      <c r="N302" s="40" t="str">
        <f aca="false">IF(L302="","",ROUND(L302/6,2))</f>
        <v/>
      </c>
      <c r="O302" s="39" t="str">
        <f aca="false">IF(OR(K302="",K302=0),"",M302/K302)</f>
        <v/>
      </c>
      <c r="P302" s="37"/>
      <c r="Q302" s="37"/>
      <c r="R302" s="37"/>
      <c r="S302" s="37"/>
      <c r="T302" s="37"/>
      <c r="U302" s="37"/>
      <c r="V302" s="37"/>
      <c r="W302" s="37"/>
      <c r="X302" s="37"/>
    </row>
    <row r="303" customFormat="false" ht="21.75" hidden="false" customHeight="true" outlineLevel="0" collapsed="false">
      <c r="A303" s="42"/>
      <c r="B303" s="42"/>
      <c r="C303" s="42"/>
      <c r="D303" s="42"/>
      <c r="E303" s="42"/>
      <c r="F303" s="42"/>
      <c r="G303" s="42"/>
      <c r="H303" s="42"/>
      <c r="I303" s="42"/>
      <c r="J303" s="43" t="str">
        <f aca="false">IF(I303="","",ROUND(I303/1.2,2))</f>
        <v/>
      </c>
      <c r="K303" s="42"/>
      <c r="L303" s="43" t="str">
        <f aca="false">IF(OR(I303="",K303=""),"",I303-K303)</f>
        <v/>
      </c>
      <c r="M303" s="43" t="str">
        <f aca="false">IF(L303="","",L303-N303)</f>
        <v/>
      </c>
      <c r="N303" s="45" t="str">
        <f aca="false">IF(L303="","",ROUND(L303/6,2))</f>
        <v/>
      </c>
      <c r="O303" s="44" t="str">
        <f aca="false">IF(OR(K303="",K303=0),"",M303/K303)</f>
        <v/>
      </c>
      <c r="P303" s="42"/>
      <c r="Q303" s="42"/>
      <c r="R303" s="42"/>
      <c r="S303" s="42"/>
      <c r="T303" s="42"/>
      <c r="U303" s="42"/>
      <c r="V303" s="42"/>
      <c r="W303" s="42"/>
      <c r="X303" s="42"/>
    </row>
    <row r="304" customFormat="false" ht="21.75" hidden="false" customHeight="true" outlineLevel="0" collapsed="false">
      <c r="A304" s="37"/>
      <c r="B304" s="37"/>
      <c r="C304" s="37"/>
      <c r="D304" s="37"/>
      <c r="E304" s="37"/>
      <c r="F304" s="37"/>
      <c r="G304" s="37"/>
      <c r="H304" s="37"/>
      <c r="I304" s="37"/>
      <c r="J304" s="38" t="str">
        <f aca="false">IF(I304="","",ROUND(I304/1.2,2))</f>
        <v/>
      </c>
      <c r="K304" s="37"/>
      <c r="L304" s="38" t="str">
        <f aca="false">IF(OR(I304="",K304=""),"",I304-K304)</f>
        <v/>
      </c>
      <c r="M304" s="38" t="str">
        <f aca="false">IF(L304="","",L304-N304)</f>
        <v/>
      </c>
      <c r="N304" s="40" t="str">
        <f aca="false">IF(L304="","",ROUND(L304/6,2))</f>
        <v/>
      </c>
      <c r="O304" s="39" t="str">
        <f aca="false">IF(OR(K304="",K304=0),"",M304/K304)</f>
        <v/>
      </c>
      <c r="P304" s="37"/>
      <c r="Q304" s="37"/>
      <c r="R304" s="37"/>
      <c r="S304" s="37"/>
      <c r="T304" s="37"/>
      <c r="U304" s="37"/>
      <c r="V304" s="37"/>
      <c r="W304" s="37"/>
      <c r="X304" s="37"/>
    </row>
    <row r="305" customFormat="false" ht="21.75" hidden="false" customHeight="true" outlineLevel="0" collapsed="false">
      <c r="A305" s="42"/>
      <c r="B305" s="42"/>
      <c r="C305" s="42"/>
      <c r="D305" s="42"/>
      <c r="E305" s="42"/>
      <c r="F305" s="42"/>
      <c r="G305" s="42"/>
      <c r="H305" s="42"/>
      <c r="I305" s="42"/>
      <c r="J305" s="43" t="str">
        <f aca="false">IF(I305="","",ROUND(I305/1.2,2))</f>
        <v/>
      </c>
      <c r="K305" s="42"/>
      <c r="L305" s="43" t="str">
        <f aca="false">IF(OR(I305="",K305=""),"",I305-K305)</f>
        <v/>
      </c>
      <c r="M305" s="43" t="str">
        <f aca="false">IF(L305="","",L305-N305)</f>
        <v/>
      </c>
      <c r="N305" s="45" t="str">
        <f aca="false">IF(L305="","",ROUND(L305/6,2))</f>
        <v/>
      </c>
      <c r="O305" s="44" t="str">
        <f aca="false">IF(OR(K305="",K305=0),"",M305/K305)</f>
        <v/>
      </c>
      <c r="P305" s="42"/>
      <c r="Q305" s="42"/>
      <c r="R305" s="42"/>
      <c r="S305" s="42"/>
      <c r="T305" s="42"/>
      <c r="U305" s="42"/>
      <c r="V305" s="42"/>
      <c r="W305" s="42"/>
      <c r="X305" s="42"/>
    </row>
    <row r="306" customFormat="false" ht="21.75" hidden="false" customHeight="true" outlineLevel="0" collapsed="false">
      <c r="A306" s="37"/>
      <c r="B306" s="37"/>
      <c r="C306" s="37"/>
      <c r="D306" s="37"/>
      <c r="E306" s="37"/>
      <c r="F306" s="37"/>
      <c r="G306" s="37"/>
      <c r="H306" s="37"/>
      <c r="I306" s="37"/>
      <c r="J306" s="38" t="str">
        <f aca="false">IF(I306="","",ROUND(I306/1.2,2))</f>
        <v/>
      </c>
      <c r="K306" s="37"/>
      <c r="L306" s="38" t="str">
        <f aca="false">IF(OR(I306="",K306=""),"",I306-K306)</f>
        <v/>
      </c>
      <c r="M306" s="38" t="str">
        <f aca="false">IF(L306="","",L306-N306)</f>
        <v/>
      </c>
      <c r="N306" s="40" t="str">
        <f aca="false">IF(L306="","",ROUND(L306/6,2))</f>
        <v/>
      </c>
      <c r="O306" s="39" t="str">
        <f aca="false">IF(OR(K306="",K306=0),"",M306/K306)</f>
        <v/>
      </c>
      <c r="P306" s="37"/>
      <c r="Q306" s="37"/>
      <c r="R306" s="37"/>
      <c r="S306" s="37"/>
      <c r="T306" s="37"/>
      <c r="U306" s="37"/>
      <c r="V306" s="37"/>
      <c r="W306" s="37"/>
      <c r="X306" s="37"/>
    </row>
    <row r="307" customFormat="false" ht="21.75" hidden="false" customHeight="true" outlineLevel="0" collapsed="false">
      <c r="A307" s="42"/>
      <c r="B307" s="42"/>
      <c r="C307" s="42"/>
      <c r="D307" s="42"/>
      <c r="E307" s="42"/>
      <c r="F307" s="42"/>
      <c r="G307" s="42"/>
      <c r="H307" s="42"/>
      <c r="I307" s="42"/>
      <c r="J307" s="43" t="str">
        <f aca="false">IF(I307="","",ROUND(I307/1.2,2))</f>
        <v/>
      </c>
      <c r="K307" s="42"/>
      <c r="L307" s="43" t="str">
        <f aca="false">IF(OR(I307="",K307=""),"",I307-K307)</f>
        <v/>
      </c>
      <c r="M307" s="43" t="str">
        <f aca="false">IF(L307="","",L307-N307)</f>
        <v/>
      </c>
      <c r="N307" s="45" t="str">
        <f aca="false">IF(L307="","",ROUND(L307/6,2))</f>
        <v/>
      </c>
      <c r="O307" s="44" t="str">
        <f aca="false">IF(OR(K307="",K307=0),"",M307/K307)</f>
        <v/>
      </c>
      <c r="P307" s="42"/>
      <c r="Q307" s="42"/>
      <c r="R307" s="42"/>
      <c r="S307" s="42"/>
      <c r="T307" s="42"/>
      <c r="U307" s="42"/>
      <c r="V307" s="42"/>
      <c r="W307" s="42"/>
      <c r="X307" s="42"/>
    </row>
    <row r="308" customFormat="false" ht="21.75" hidden="false" customHeight="true" outlineLevel="0" collapsed="false">
      <c r="A308" s="37"/>
      <c r="B308" s="37"/>
      <c r="C308" s="37"/>
      <c r="D308" s="37"/>
      <c r="E308" s="37"/>
      <c r="F308" s="37"/>
      <c r="G308" s="37"/>
      <c r="H308" s="37"/>
      <c r="I308" s="37"/>
      <c r="J308" s="38" t="str">
        <f aca="false">IF(I308="","",ROUND(I308/1.2,2))</f>
        <v/>
      </c>
      <c r="K308" s="37"/>
      <c r="L308" s="38" t="str">
        <f aca="false">IF(OR(I308="",K308=""),"",I308-K308)</f>
        <v/>
      </c>
      <c r="M308" s="38" t="str">
        <f aca="false">IF(L308="","",L308-N308)</f>
        <v/>
      </c>
      <c r="N308" s="40" t="str">
        <f aca="false">IF(L308="","",ROUND(L308/6,2))</f>
        <v/>
      </c>
      <c r="O308" s="39" t="str">
        <f aca="false">IF(OR(K308="",K308=0),"",M308/K308)</f>
        <v/>
      </c>
      <c r="P308" s="37"/>
      <c r="Q308" s="37"/>
      <c r="R308" s="37"/>
      <c r="S308" s="37"/>
      <c r="T308" s="37"/>
      <c r="U308" s="37"/>
      <c r="V308" s="37"/>
      <c r="W308" s="37"/>
      <c r="X308" s="37"/>
    </row>
    <row r="309" customFormat="false" ht="21.75" hidden="false" customHeight="true" outlineLevel="0" collapsed="false">
      <c r="A309" s="42"/>
      <c r="B309" s="42"/>
      <c r="C309" s="42"/>
      <c r="D309" s="42"/>
      <c r="E309" s="42"/>
      <c r="F309" s="42"/>
      <c r="G309" s="42"/>
      <c r="H309" s="42"/>
      <c r="I309" s="42"/>
      <c r="J309" s="43" t="str">
        <f aca="false">IF(I309="","",ROUND(I309/1.2,2))</f>
        <v/>
      </c>
      <c r="K309" s="42"/>
      <c r="L309" s="43" t="str">
        <f aca="false">IF(OR(I309="",K309=""),"",I309-K309)</f>
        <v/>
      </c>
      <c r="M309" s="43" t="str">
        <f aca="false">IF(L309="","",L309-N309)</f>
        <v/>
      </c>
      <c r="N309" s="45" t="str">
        <f aca="false">IF(L309="","",ROUND(L309/6,2))</f>
        <v/>
      </c>
      <c r="O309" s="44" t="str">
        <f aca="false">IF(OR(K309="",K309=0),"",M309/K309)</f>
        <v/>
      </c>
      <c r="P309" s="42"/>
      <c r="Q309" s="42"/>
      <c r="R309" s="42"/>
      <c r="S309" s="42"/>
      <c r="T309" s="42"/>
      <c r="U309" s="42"/>
      <c r="V309" s="42"/>
      <c r="W309" s="42"/>
      <c r="X309" s="42"/>
    </row>
    <row r="310" customFormat="false" ht="21.75" hidden="false" customHeight="true" outlineLevel="0" collapsed="false">
      <c r="A310" s="37"/>
      <c r="B310" s="37"/>
      <c r="C310" s="37"/>
      <c r="D310" s="37"/>
      <c r="E310" s="37"/>
      <c r="F310" s="37"/>
      <c r="G310" s="37"/>
      <c r="H310" s="37"/>
      <c r="I310" s="37"/>
      <c r="J310" s="38" t="str">
        <f aca="false">IF(I310="","",ROUND(I310/1.2,2))</f>
        <v/>
      </c>
      <c r="K310" s="37"/>
      <c r="L310" s="38" t="str">
        <f aca="false">IF(OR(I310="",K310=""),"",I310-K310)</f>
        <v/>
      </c>
      <c r="M310" s="38" t="str">
        <f aca="false">IF(L310="","",L310-N310)</f>
        <v/>
      </c>
      <c r="N310" s="40" t="str">
        <f aca="false">IF(L310="","",ROUND(L310/6,2))</f>
        <v/>
      </c>
      <c r="O310" s="39" t="str">
        <f aca="false">IF(OR(K310="",K310=0),"",M310/K310)</f>
        <v/>
      </c>
      <c r="P310" s="37"/>
      <c r="Q310" s="37"/>
      <c r="R310" s="37"/>
      <c r="S310" s="37"/>
      <c r="T310" s="37"/>
      <c r="U310" s="37"/>
      <c r="V310" s="37"/>
      <c r="W310" s="37"/>
      <c r="X310" s="37"/>
    </row>
    <row r="311" customFormat="false" ht="21.75" hidden="false" customHeight="true" outlineLevel="0" collapsed="false">
      <c r="A311" s="42"/>
      <c r="B311" s="42"/>
      <c r="C311" s="42"/>
      <c r="D311" s="42"/>
      <c r="E311" s="42"/>
      <c r="F311" s="42"/>
      <c r="G311" s="42"/>
      <c r="H311" s="42"/>
      <c r="I311" s="42"/>
      <c r="J311" s="43" t="str">
        <f aca="false">IF(I311="","",ROUND(I311/1.2,2))</f>
        <v/>
      </c>
      <c r="K311" s="42"/>
      <c r="L311" s="43" t="str">
        <f aca="false">IF(OR(I311="",K311=""),"",I311-K311)</f>
        <v/>
      </c>
      <c r="M311" s="43" t="str">
        <f aca="false">IF(L311="","",L311-N311)</f>
        <v/>
      </c>
      <c r="N311" s="45" t="str">
        <f aca="false">IF(L311="","",ROUND(L311/6,2))</f>
        <v/>
      </c>
      <c r="O311" s="44" t="str">
        <f aca="false">IF(OR(K311="",K311=0),"",M311/K311)</f>
        <v/>
      </c>
      <c r="P311" s="42"/>
      <c r="Q311" s="42"/>
      <c r="R311" s="42"/>
      <c r="S311" s="42"/>
      <c r="T311" s="42"/>
      <c r="U311" s="42"/>
      <c r="V311" s="42"/>
      <c r="W311" s="42"/>
      <c r="X311" s="42"/>
    </row>
    <row r="312" customFormat="false" ht="21.75" hidden="false" customHeight="true" outlineLevel="0" collapsed="false">
      <c r="A312" s="37"/>
      <c r="B312" s="37"/>
      <c r="C312" s="37"/>
      <c r="D312" s="37"/>
      <c r="E312" s="37"/>
      <c r="F312" s="37"/>
      <c r="G312" s="37"/>
      <c r="H312" s="37"/>
      <c r="I312" s="37"/>
      <c r="J312" s="38" t="str">
        <f aca="false">IF(I312="","",ROUND(I312/1.2,2))</f>
        <v/>
      </c>
      <c r="K312" s="37"/>
      <c r="L312" s="38" t="str">
        <f aca="false">IF(OR(I312="",K312=""),"",I312-K312)</f>
        <v/>
      </c>
      <c r="M312" s="38" t="str">
        <f aca="false">IF(L312="","",L312-N312)</f>
        <v/>
      </c>
      <c r="N312" s="40" t="str">
        <f aca="false">IF(L312="","",ROUND(L312/6,2))</f>
        <v/>
      </c>
      <c r="O312" s="39" t="str">
        <f aca="false">IF(OR(K312="",K312=0),"",M312/K312)</f>
        <v/>
      </c>
      <c r="P312" s="37"/>
      <c r="Q312" s="37"/>
      <c r="R312" s="37"/>
      <c r="S312" s="37"/>
      <c r="T312" s="37"/>
      <c r="U312" s="37"/>
      <c r="V312" s="37"/>
      <c r="W312" s="37"/>
      <c r="X312" s="37"/>
    </row>
    <row r="313" customFormat="false" ht="21.75" hidden="false" customHeight="true" outlineLevel="0" collapsed="false">
      <c r="A313" s="42"/>
      <c r="B313" s="42"/>
      <c r="C313" s="42"/>
      <c r="D313" s="42"/>
      <c r="E313" s="42"/>
      <c r="F313" s="42"/>
      <c r="G313" s="42"/>
      <c r="H313" s="42"/>
      <c r="I313" s="42"/>
      <c r="J313" s="43" t="str">
        <f aca="false">IF(I313="","",ROUND(I313/1.2,2))</f>
        <v/>
      </c>
      <c r="K313" s="42"/>
      <c r="L313" s="43" t="str">
        <f aca="false">IF(OR(I313="",K313=""),"",I313-K313)</f>
        <v/>
      </c>
      <c r="M313" s="43" t="str">
        <f aca="false">IF(L313="","",L313-N313)</f>
        <v/>
      </c>
      <c r="N313" s="45" t="str">
        <f aca="false">IF(L313="","",ROUND(L313/6,2))</f>
        <v/>
      </c>
      <c r="O313" s="44" t="str">
        <f aca="false">IF(OR(K313="",K313=0),"",M313/K313)</f>
        <v/>
      </c>
      <c r="P313" s="42"/>
      <c r="Q313" s="42"/>
      <c r="R313" s="42"/>
      <c r="S313" s="42"/>
      <c r="T313" s="42"/>
      <c r="U313" s="42"/>
      <c r="V313" s="42"/>
      <c r="W313" s="42"/>
      <c r="X313" s="42"/>
    </row>
    <row r="314" customFormat="false" ht="21.75" hidden="false" customHeight="true" outlineLevel="0" collapsed="false">
      <c r="A314" s="37"/>
      <c r="B314" s="37"/>
      <c r="C314" s="37"/>
      <c r="D314" s="37"/>
      <c r="E314" s="37"/>
      <c r="F314" s="37"/>
      <c r="G314" s="37"/>
      <c r="H314" s="37"/>
      <c r="I314" s="37"/>
      <c r="J314" s="38" t="str">
        <f aca="false">IF(I314="","",ROUND(I314/1.2,2))</f>
        <v/>
      </c>
      <c r="K314" s="37"/>
      <c r="L314" s="38" t="str">
        <f aca="false">IF(OR(I314="",K314=""),"",I314-K314)</f>
        <v/>
      </c>
      <c r="M314" s="38" t="str">
        <f aca="false">IF(L314="","",L314-N314)</f>
        <v/>
      </c>
      <c r="N314" s="40" t="str">
        <f aca="false">IF(L314="","",ROUND(L314/6,2))</f>
        <v/>
      </c>
      <c r="O314" s="39" t="str">
        <f aca="false">IF(OR(K314="",K314=0),"",M314/K314)</f>
        <v/>
      </c>
      <c r="P314" s="37"/>
      <c r="Q314" s="37"/>
      <c r="R314" s="37"/>
      <c r="S314" s="37"/>
      <c r="T314" s="37"/>
      <c r="U314" s="37"/>
      <c r="V314" s="37"/>
      <c r="W314" s="37"/>
      <c r="X314" s="37"/>
    </row>
    <row r="315" customFormat="false" ht="21.75" hidden="false" customHeight="true" outlineLevel="0" collapsed="false">
      <c r="A315" s="42"/>
      <c r="B315" s="42"/>
      <c r="C315" s="42"/>
      <c r="D315" s="42"/>
      <c r="E315" s="42"/>
      <c r="F315" s="42"/>
      <c r="G315" s="42"/>
      <c r="H315" s="42"/>
      <c r="I315" s="42"/>
      <c r="J315" s="43" t="str">
        <f aca="false">IF(I315="","",ROUND(I315/1.2,2))</f>
        <v/>
      </c>
      <c r="K315" s="42"/>
      <c r="L315" s="43" t="str">
        <f aca="false">IF(OR(I315="",K315=""),"",I315-K315)</f>
        <v/>
      </c>
      <c r="M315" s="43" t="str">
        <f aca="false">IF(L315="","",L315-N315)</f>
        <v/>
      </c>
      <c r="N315" s="45" t="str">
        <f aca="false">IF(L315="","",ROUND(L315/6,2))</f>
        <v/>
      </c>
      <c r="O315" s="44" t="str">
        <f aca="false">IF(OR(K315="",K315=0),"",M315/K315)</f>
        <v/>
      </c>
      <c r="P315" s="42"/>
      <c r="Q315" s="42"/>
      <c r="R315" s="42"/>
      <c r="S315" s="42"/>
      <c r="T315" s="42"/>
      <c r="U315" s="42"/>
      <c r="V315" s="42"/>
      <c r="W315" s="42"/>
      <c r="X315" s="42"/>
    </row>
    <row r="316" customFormat="false" ht="21.75" hidden="false" customHeight="true" outlineLevel="0" collapsed="false">
      <c r="A316" s="37"/>
      <c r="B316" s="37"/>
      <c r="C316" s="37"/>
      <c r="D316" s="37"/>
      <c r="E316" s="37"/>
      <c r="F316" s="37"/>
      <c r="G316" s="37"/>
      <c r="H316" s="37"/>
      <c r="I316" s="37"/>
      <c r="J316" s="38" t="str">
        <f aca="false">IF(I316="","",ROUND(I316/1.2,2))</f>
        <v/>
      </c>
      <c r="K316" s="37"/>
      <c r="L316" s="38" t="str">
        <f aca="false">IF(OR(I316="",K316=""),"",I316-K316)</f>
        <v/>
      </c>
      <c r="M316" s="38" t="str">
        <f aca="false">IF(L316="","",L316-N316)</f>
        <v/>
      </c>
      <c r="N316" s="40" t="str">
        <f aca="false">IF(L316="","",ROUND(L316/6,2))</f>
        <v/>
      </c>
      <c r="O316" s="39" t="str">
        <f aca="false">IF(OR(K316="",K316=0),"",M316/K316)</f>
        <v/>
      </c>
      <c r="P316" s="37"/>
      <c r="Q316" s="37"/>
      <c r="R316" s="37"/>
      <c r="S316" s="37"/>
      <c r="T316" s="37"/>
      <c r="U316" s="37"/>
      <c r="V316" s="37"/>
      <c r="W316" s="37"/>
      <c r="X316" s="37"/>
    </row>
    <row r="317" customFormat="false" ht="21.75" hidden="false" customHeight="true" outlineLevel="0" collapsed="false">
      <c r="A317" s="42"/>
      <c r="B317" s="42"/>
      <c r="C317" s="42"/>
      <c r="D317" s="42"/>
      <c r="E317" s="42"/>
      <c r="F317" s="42"/>
      <c r="G317" s="42"/>
      <c r="H317" s="42"/>
      <c r="I317" s="42"/>
      <c r="J317" s="43" t="str">
        <f aca="false">IF(I317="","",ROUND(I317/1.2,2))</f>
        <v/>
      </c>
      <c r="K317" s="42"/>
      <c r="L317" s="43" t="str">
        <f aca="false">IF(OR(I317="",K317=""),"",I317-K317)</f>
        <v/>
      </c>
      <c r="M317" s="43" t="str">
        <f aca="false">IF(L317="","",L317-N317)</f>
        <v/>
      </c>
      <c r="N317" s="45" t="str">
        <f aca="false">IF(L317="","",ROUND(L317/6,2))</f>
        <v/>
      </c>
      <c r="O317" s="44" t="str">
        <f aca="false">IF(OR(K317="",K317=0),"",M317/K317)</f>
        <v/>
      </c>
      <c r="P317" s="42"/>
      <c r="Q317" s="42"/>
      <c r="R317" s="42"/>
      <c r="S317" s="42"/>
      <c r="T317" s="42"/>
      <c r="U317" s="42"/>
      <c r="V317" s="42"/>
      <c r="W317" s="42"/>
      <c r="X317" s="42"/>
    </row>
    <row r="318" customFormat="false" ht="21.75" hidden="false" customHeight="true" outlineLevel="0" collapsed="false">
      <c r="A318" s="37"/>
      <c r="B318" s="37"/>
      <c r="C318" s="37"/>
      <c r="D318" s="37"/>
      <c r="E318" s="37"/>
      <c r="F318" s="37"/>
      <c r="G318" s="37"/>
      <c r="H318" s="37"/>
      <c r="I318" s="37"/>
      <c r="J318" s="38" t="str">
        <f aca="false">IF(I318="","",ROUND(I318/1.2,2))</f>
        <v/>
      </c>
      <c r="K318" s="37"/>
      <c r="L318" s="38" t="str">
        <f aca="false">IF(OR(I318="",K318=""),"",I318-K318)</f>
        <v/>
      </c>
      <c r="M318" s="38" t="str">
        <f aca="false">IF(L318="","",L318-N318)</f>
        <v/>
      </c>
      <c r="N318" s="40" t="str">
        <f aca="false">IF(L318="","",ROUND(L318/6,2))</f>
        <v/>
      </c>
      <c r="O318" s="39" t="str">
        <f aca="false">IF(OR(K318="",K318=0),"",M318/K318)</f>
        <v/>
      </c>
      <c r="P318" s="37"/>
      <c r="Q318" s="37"/>
      <c r="R318" s="37"/>
      <c r="S318" s="37"/>
      <c r="T318" s="37"/>
      <c r="U318" s="37"/>
      <c r="V318" s="37"/>
      <c r="W318" s="37"/>
      <c r="X318" s="37"/>
    </row>
    <row r="319" customFormat="false" ht="21.75" hidden="false" customHeight="true" outlineLevel="0" collapsed="false">
      <c r="A319" s="42"/>
      <c r="B319" s="42"/>
      <c r="C319" s="42"/>
      <c r="D319" s="42"/>
      <c r="E319" s="42"/>
      <c r="F319" s="42"/>
      <c r="G319" s="42"/>
      <c r="H319" s="42"/>
      <c r="I319" s="42"/>
      <c r="J319" s="43" t="str">
        <f aca="false">IF(I319="","",ROUND(I319/1.2,2))</f>
        <v/>
      </c>
      <c r="K319" s="42"/>
      <c r="L319" s="43" t="str">
        <f aca="false">IF(OR(I319="",K319=""),"",I319-K319)</f>
        <v/>
      </c>
      <c r="M319" s="43" t="str">
        <f aca="false">IF(L319="","",L319-N319)</f>
        <v/>
      </c>
      <c r="N319" s="45" t="str">
        <f aca="false">IF(L319="","",ROUND(L319/6,2))</f>
        <v/>
      </c>
      <c r="O319" s="44" t="str">
        <f aca="false">IF(OR(K319="",K319=0),"",M319/K319)</f>
        <v/>
      </c>
      <c r="P319" s="42"/>
      <c r="Q319" s="42"/>
      <c r="R319" s="42"/>
      <c r="S319" s="42"/>
      <c r="T319" s="42"/>
      <c r="U319" s="42"/>
      <c r="V319" s="42"/>
      <c r="W319" s="42"/>
      <c r="X319" s="42"/>
    </row>
    <row r="320" customFormat="false" ht="21.75" hidden="false" customHeight="true" outlineLevel="0" collapsed="false">
      <c r="A320" s="37"/>
      <c r="B320" s="37"/>
      <c r="C320" s="37"/>
      <c r="D320" s="37"/>
      <c r="E320" s="37"/>
      <c r="F320" s="37"/>
      <c r="G320" s="37"/>
      <c r="H320" s="37"/>
      <c r="I320" s="37"/>
      <c r="J320" s="38" t="str">
        <f aca="false">IF(I320="","",ROUND(I320/1.2,2))</f>
        <v/>
      </c>
      <c r="K320" s="37"/>
      <c r="L320" s="38" t="str">
        <f aca="false">IF(OR(I320="",K320=""),"",I320-K320)</f>
        <v/>
      </c>
      <c r="M320" s="38" t="str">
        <f aca="false">IF(L320="","",L320-N320)</f>
        <v/>
      </c>
      <c r="N320" s="40" t="str">
        <f aca="false">IF(L320="","",ROUND(L320/6,2))</f>
        <v/>
      </c>
      <c r="O320" s="39" t="str">
        <f aca="false">IF(OR(K320="",K320=0),"",M320/K320)</f>
        <v/>
      </c>
      <c r="P320" s="37"/>
      <c r="Q320" s="37"/>
      <c r="R320" s="37"/>
      <c r="S320" s="37"/>
      <c r="T320" s="37"/>
      <c r="U320" s="37"/>
      <c r="V320" s="37"/>
      <c r="W320" s="37"/>
      <c r="X320" s="37"/>
    </row>
    <row r="321" customFormat="false" ht="21.75" hidden="false" customHeight="true" outlineLevel="0" collapsed="false">
      <c r="A321" s="42"/>
      <c r="B321" s="42"/>
      <c r="C321" s="42"/>
      <c r="D321" s="42"/>
      <c r="E321" s="42"/>
      <c r="F321" s="42"/>
      <c r="G321" s="42"/>
      <c r="H321" s="42"/>
      <c r="I321" s="42"/>
      <c r="J321" s="43" t="str">
        <f aca="false">IF(I321="","",ROUND(I321/1.2,2))</f>
        <v/>
      </c>
      <c r="K321" s="42"/>
      <c r="L321" s="43" t="str">
        <f aca="false">IF(OR(I321="",K321=""),"",I321-K321)</f>
        <v/>
      </c>
      <c r="M321" s="43" t="str">
        <f aca="false">IF(L321="","",L321-N321)</f>
        <v/>
      </c>
      <c r="N321" s="45" t="str">
        <f aca="false">IF(L321="","",ROUND(L321/6,2))</f>
        <v/>
      </c>
      <c r="O321" s="44" t="str">
        <f aca="false">IF(OR(K321="",K321=0),"",M321/K321)</f>
        <v/>
      </c>
      <c r="P321" s="42"/>
      <c r="Q321" s="42"/>
      <c r="R321" s="42"/>
      <c r="S321" s="42"/>
      <c r="T321" s="42"/>
      <c r="U321" s="42"/>
      <c r="V321" s="42"/>
      <c r="W321" s="42"/>
      <c r="X321" s="42"/>
    </row>
    <row r="322" customFormat="false" ht="21.75" hidden="false" customHeight="true" outlineLevel="0" collapsed="false">
      <c r="A322" s="37"/>
      <c r="B322" s="37"/>
      <c r="C322" s="37"/>
      <c r="D322" s="37"/>
      <c r="E322" s="37"/>
      <c r="F322" s="37"/>
      <c r="G322" s="37"/>
      <c r="H322" s="37"/>
      <c r="I322" s="37"/>
      <c r="J322" s="38" t="str">
        <f aca="false">IF(I322="","",ROUND(I322/1.2,2))</f>
        <v/>
      </c>
      <c r="K322" s="37"/>
      <c r="L322" s="38" t="str">
        <f aca="false">IF(OR(I322="",K322=""),"",I322-K322)</f>
        <v/>
      </c>
      <c r="M322" s="38" t="str">
        <f aca="false">IF(L322="","",L322-N322)</f>
        <v/>
      </c>
      <c r="N322" s="40" t="str">
        <f aca="false">IF(L322="","",ROUND(L322/6,2))</f>
        <v/>
      </c>
      <c r="O322" s="39" t="str">
        <f aca="false">IF(OR(K322="",K322=0),"",M322/K322)</f>
        <v/>
      </c>
      <c r="P322" s="37"/>
      <c r="Q322" s="37"/>
      <c r="R322" s="37"/>
      <c r="S322" s="37"/>
      <c r="T322" s="37"/>
      <c r="U322" s="37"/>
      <c r="V322" s="37"/>
      <c r="W322" s="37"/>
      <c r="X322" s="37"/>
    </row>
    <row r="323" customFormat="false" ht="21.75" hidden="false" customHeight="true" outlineLevel="0" collapsed="false">
      <c r="A323" s="42"/>
      <c r="B323" s="42"/>
      <c r="C323" s="42"/>
      <c r="D323" s="42"/>
      <c r="E323" s="42"/>
      <c r="F323" s="42"/>
      <c r="G323" s="42"/>
      <c r="H323" s="42"/>
      <c r="I323" s="42"/>
      <c r="J323" s="43" t="str">
        <f aca="false">IF(I323="","",ROUND(I323/1.2,2))</f>
        <v/>
      </c>
      <c r="K323" s="42"/>
      <c r="L323" s="43" t="str">
        <f aca="false">IF(OR(I323="",K323=""),"",I323-K323)</f>
        <v/>
      </c>
      <c r="M323" s="43" t="str">
        <f aca="false">IF(L323="","",L323-N323)</f>
        <v/>
      </c>
      <c r="N323" s="45" t="str">
        <f aca="false">IF(L323="","",ROUND(L323/6,2))</f>
        <v/>
      </c>
      <c r="O323" s="44" t="str">
        <f aca="false">IF(OR(K323="",K323=0),"",M323/K323)</f>
        <v/>
      </c>
      <c r="P323" s="42"/>
      <c r="Q323" s="42"/>
      <c r="R323" s="42"/>
      <c r="S323" s="42"/>
      <c r="T323" s="42"/>
      <c r="U323" s="42"/>
      <c r="V323" s="42"/>
      <c r="W323" s="42"/>
      <c r="X323" s="42"/>
    </row>
    <row r="324" customFormat="false" ht="21.75" hidden="false" customHeight="true" outlineLevel="0" collapsed="false">
      <c r="A324" s="37"/>
      <c r="B324" s="37"/>
      <c r="C324" s="37"/>
      <c r="D324" s="37"/>
      <c r="E324" s="37"/>
      <c r="F324" s="37"/>
      <c r="G324" s="37"/>
      <c r="H324" s="37"/>
      <c r="I324" s="37"/>
      <c r="J324" s="38" t="str">
        <f aca="false">IF(I324="","",ROUND(I324/1.2,2))</f>
        <v/>
      </c>
      <c r="K324" s="37"/>
      <c r="L324" s="38" t="str">
        <f aca="false">IF(OR(I324="",K324=""),"",I324-K324)</f>
        <v/>
      </c>
      <c r="M324" s="38" t="str">
        <f aca="false">IF(L324="","",L324-N324)</f>
        <v/>
      </c>
      <c r="N324" s="40" t="str">
        <f aca="false">IF(L324="","",ROUND(L324/6,2))</f>
        <v/>
      </c>
      <c r="O324" s="39" t="str">
        <f aca="false">IF(OR(K324="",K324=0),"",M324/K324)</f>
        <v/>
      </c>
      <c r="P324" s="37"/>
      <c r="Q324" s="37"/>
      <c r="R324" s="37"/>
      <c r="S324" s="37"/>
      <c r="T324" s="37"/>
      <c r="U324" s="37"/>
      <c r="V324" s="37"/>
      <c r="W324" s="37"/>
      <c r="X324" s="37"/>
    </row>
    <row r="325" customFormat="false" ht="21.75" hidden="false" customHeight="true" outlineLevel="0" collapsed="false">
      <c r="A325" s="42"/>
      <c r="B325" s="42"/>
      <c r="C325" s="42"/>
      <c r="D325" s="42"/>
      <c r="E325" s="42"/>
      <c r="F325" s="42"/>
      <c r="G325" s="42"/>
      <c r="H325" s="42"/>
      <c r="I325" s="42"/>
      <c r="J325" s="43" t="str">
        <f aca="false">IF(I325="","",ROUND(I325/1.2,2))</f>
        <v/>
      </c>
      <c r="K325" s="42"/>
      <c r="L325" s="43" t="str">
        <f aca="false">IF(OR(I325="",K325=""),"",I325-K325)</f>
        <v/>
      </c>
      <c r="M325" s="43" t="str">
        <f aca="false">IF(L325="","",L325-N325)</f>
        <v/>
      </c>
      <c r="N325" s="45" t="str">
        <f aca="false">IF(L325="","",ROUND(L325/6,2))</f>
        <v/>
      </c>
      <c r="O325" s="44" t="str">
        <f aca="false">IF(OR(K325="",K325=0),"",M325/K325)</f>
        <v/>
      </c>
      <c r="P325" s="42"/>
      <c r="Q325" s="42"/>
      <c r="R325" s="42"/>
      <c r="S325" s="42"/>
      <c r="T325" s="42"/>
      <c r="U325" s="42"/>
      <c r="V325" s="42"/>
      <c r="W325" s="42"/>
      <c r="X325" s="42"/>
    </row>
    <row r="326" customFormat="false" ht="21.75" hidden="false" customHeight="true" outlineLevel="0" collapsed="false">
      <c r="A326" s="37"/>
      <c r="B326" s="37"/>
      <c r="C326" s="37"/>
      <c r="D326" s="37"/>
      <c r="E326" s="37"/>
      <c r="F326" s="37"/>
      <c r="G326" s="37"/>
      <c r="H326" s="37"/>
      <c r="I326" s="37"/>
      <c r="J326" s="38" t="str">
        <f aca="false">IF(I326="","",ROUND(I326/1.2,2))</f>
        <v/>
      </c>
      <c r="K326" s="37"/>
      <c r="L326" s="38" t="str">
        <f aca="false">IF(OR(I326="",K326=""),"",I326-K326)</f>
        <v/>
      </c>
      <c r="M326" s="38" t="str">
        <f aca="false">IF(L326="","",L326-N326)</f>
        <v/>
      </c>
      <c r="N326" s="40" t="str">
        <f aca="false">IF(L326="","",ROUND(L326/6,2))</f>
        <v/>
      </c>
      <c r="O326" s="39" t="str">
        <f aca="false">IF(OR(K326="",K326=0),"",M326/K326)</f>
        <v/>
      </c>
      <c r="P326" s="37"/>
      <c r="Q326" s="37"/>
      <c r="R326" s="37"/>
      <c r="S326" s="37"/>
      <c r="T326" s="37"/>
      <c r="U326" s="37"/>
      <c r="V326" s="37"/>
      <c r="W326" s="37"/>
      <c r="X326" s="37"/>
    </row>
    <row r="327" customFormat="false" ht="21.75" hidden="false" customHeight="true" outlineLevel="0" collapsed="false">
      <c r="A327" s="42"/>
      <c r="B327" s="42"/>
      <c r="C327" s="42"/>
      <c r="D327" s="42"/>
      <c r="E327" s="42"/>
      <c r="F327" s="42"/>
      <c r="G327" s="42"/>
      <c r="H327" s="42"/>
      <c r="I327" s="42"/>
      <c r="J327" s="43" t="str">
        <f aca="false">IF(I327="","",ROUND(I327/1.2,2))</f>
        <v/>
      </c>
      <c r="K327" s="42"/>
      <c r="L327" s="43" t="str">
        <f aca="false">IF(OR(I327="",K327=""),"",I327-K327)</f>
        <v/>
      </c>
      <c r="M327" s="43" t="str">
        <f aca="false">IF(L327="","",L327-N327)</f>
        <v/>
      </c>
      <c r="N327" s="45" t="str">
        <f aca="false">IF(L327="","",ROUND(L327/6,2))</f>
        <v/>
      </c>
      <c r="O327" s="44" t="str">
        <f aca="false">IF(OR(K327="",K327=0),"",M327/K327)</f>
        <v/>
      </c>
      <c r="P327" s="42"/>
      <c r="Q327" s="42"/>
      <c r="R327" s="42"/>
      <c r="S327" s="42"/>
      <c r="T327" s="42"/>
      <c r="U327" s="42"/>
      <c r="V327" s="42"/>
      <c r="W327" s="42"/>
      <c r="X327" s="42"/>
    </row>
    <row r="328" customFormat="false" ht="21.75" hidden="false" customHeight="true" outlineLevel="0" collapsed="false">
      <c r="A328" s="37"/>
      <c r="B328" s="37"/>
      <c r="C328" s="37"/>
      <c r="D328" s="37"/>
      <c r="E328" s="37"/>
      <c r="F328" s="37"/>
      <c r="G328" s="37"/>
      <c r="H328" s="37"/>
      <c r="I328" s="37"/>
      <c r="J328" s="38" t="str">
        <f aca="false">IF(I328="","",ROUND(I328/1.2,2))</f>
        <v/>
      </c>
      <c r="K328" s="37"/>
      <c r="L328" s="38" t="str">
        <f aca="false">IF(OR(I328="",K328=""),"",I328-K328)</f>
        <v/>
      </c>
      <c r="M328" s="38" t="str">
        <f aca="false">IF(L328="","",L328-N328)</f>
        <v/>
      </c>
      <c r="N328" s="40" t="str">
        <f aca="false">IF(L328="","",ROUND(L328/6,2))</f>
        <v/>
      </c>
      <c r="O328" s="39" t="str">
        <f aca="false">IF(OR(K328="",K328=0),"",M328/K328)</f>
        <v/>
      </c>
      <c r="P328" s="37"/>
      <c r="Q328" s="37"/>
      <c r="R328" s="37"/>
      <c r="S328" s="37"/>
      <c r="T328" s="37"/>
      <c r="U328" s="37"/>
      <c r="V328" s="37"/>
      <c r="W328" s="37"/>
      <c r="X328" s="37"/>
    </row>
    <row r="329" customFormat="false" ht="21.75" hidden="false" customHeight="true" outlineLevel="0" collapsed="false">
      <c r="A329" s="42"/>
      <c r="B329" s="42"/>
      <c r="C329" s="42"/>
      <c r="D329" s="42"/>
      <c r="E329" s="42"/>
      <c r="F329" s="42"/>
      <c r="G329" s="42"/>
      <c r="H329" s="42"/>
      <c r="I329" s="42"/>
      <c r="J329" s="43" t="str">
        <f aca="false">IF(I329="","",ROUND(I329/1.2,2))</f>
        <v/>
      </c>
      <c r="K329" s="42"/>
      <c r="L329" s="43" t="str">
        <f aca="false">IF(OR(I329="",K329=""),"",I329-K329)</f>
        <v/>
      </c>
      <c r="M329" s="43" t="str">
        <f aca="false">IF(L329="","",L329-N329)</f>
        <v/>
      </c>
      <c r="N329" s="45" t="str">
        <f aca="false">IF(L329="","",ROUND(L329/6,2))</f>
        <v/>
      </c>
      <c r="O329" s="44" t="str">
        <f aca="false">IF(OR(K329="",K329=0),"",M329/K329)</f>
        <v/>
      </c>
      <c r="P329" s="42"/>
      <c r="Q329" s="42"/>
      <c r="R329" s="42"/>
      <c r="S329" s="42"/>
      <c r="T329" s="42"/>
      <c r="U329" s="42"/>
      <c r="V329" s="42"/>
      <c r="W329" s="42"/>
      <c r="X329" s="42"/>
    </row>
    <row r="330" customFormat="false" ht="21.75" hidden="false" customHeight="true" outlineLevel="0" collapsed="false">
      <c r="A330" s="37"/>
      <c r="B330" s="37"/>
      <c r="C330" s="37"/>
      <c r="D330" s="37"/>
      <c r="E330" s="37"/>
      <c r="F330" s="37"/>
      <c r="G330" s="37"/>
      <c r="H330" s="37"/>
      <c r="I330" s="37"/>
      <c r="J330" s="38" t="str">
        <f aca="false">IF(I330="","",ROUND(I330/1.2,2))</f>
        <v/>
      </c>
      <c r="K330" s="37"/>
      <c r="L330" s="38" t="str">
        <f aca="false">IF(OR(I330="",K330=""),"",I330-K330)</f>
        <v/>
      </c>
      <c r="M330" s="38" t="str">
        <f aca="false">IF(L330="","",L330-N330)</f>
        <v/>
      </c>
      <c r="N330" s="40" t="str">
        <f aca="false">IF(L330="","",ROUND(L330/6,2))</f>
        <v/>
      </c>
      <c r="O330" s="39" t="str">
        <f aca="false">IF(OR(K330="",K330=0),"",M330/K330)</f>
        <v/>
      </c>
      <c r="P330" s="37"/>
      <c r="Q330" s="37"/>
      <c r="R330" s="37"/>
      <c r="S330" s="37"/>
      <c r="T330" s="37"/>
      <c r="U330" s="37"/>
      <c r="V330" s="37"/>
      <c r="W330" s="37"/>
      <c r="X330" s="37"/>
    </row>
    <row r="331" customFormat="false" ht="21.75" hidden="false" customHeight="true" outlineLevel="0" collapsed="false">
      <c r="A331" s="42"/>
      <c r="B331" s="42"/>
      <c r="C331" s="42"/>
      <c r="D331" s="42"/>
      <c r="E331" s="42"/>
      <c r="F331" s="42"/>
      <c r="G331" s="42"/>
      <c r="H331" s="42"/>
      <c r="I331" s="42"/>
      <c r="J331" s="43" t="str">
        <f aca="false">IF(I331="","",ROUND(I331/1.2,2))</f>
        <v/>
      </c>
      <c r="K331" s="42"/>
      <c r="L331" s="43" t="str">
        <f aca="false">IF(OR(I331="",K331=""),"",I331-K331)</f>
        <v/>
      </c>
      <c r="M331" s="43" t="str">
        <f aca="false">IF(L331="","",L331-N331)</f>
        <v/>
      </c>
      <c r="N331" s="45" t="str">
        <f aca="false">IF(L331="","",ROUND(L331/6,2))</f>
        <v/>
      </c>
      <c r="O331" s="44" t="str">
        <f aca="false">IF(OR(K331="",K331=0),"",M331/K331)</f>
        <v/>
      </c>
      <c r="P331" s="42"/>
      <c r="Q331" s="42"/>
      <c r="R331" s="42"/>
      <c r="S331" s="42"/>
      <c r="T331" s="42"/>
      <c r="U331" s="42"/>
      <c r="V331" s="42"/>
      <c r="W331" s="42"/>
      <c r="X331" s="42"/>
    </row>
    <row r="332" customFormat="false" ht="21.75" hidden="false" customHeight="true" outlineLevel="0" collapsed="false">
      <c r="A332" s="37"/>
      <c r="B332" s="37"/>
      <c r="C332" s="37"/>
      <c r="D332" s="37"/>
      <c r="E332" s="37"/>
      <c r="F332" s="37"/>
      <c r="G332" s="37"/>
      <c r="H332" s="37"/>
      <c r="I332" s="37"/>
      <c r="J332" s="38" t="str">
        <f aca="false">IF(I332="","",ROUND(I332/1.2,2))</f>
        <v/>
      </c>
      <c r="K332" s="37"/>
      <c r="L332" s="38" t="str">
        <f aca="false">IF(OR(I332="",K332=""),"",I332-K332)</f>
        <v/>
      </c>
      <c r="M332" s="38" t="str">
        <f aca="false">IF(L332="","",L332-N332)</f>
        <v/>
      </c>
      <c r="N332" s="40" t="str">
        <f aca="false">IF(L332="","",ROUND(L332/6,2))</f>
        <v/>
      </c>
      <c r="O332" s="39" t="str">
        <f aca="false">IF(OR(K332="",K332=0),"",M332/K332)</f>
        <v/>
      </c>
      <c r="P332" s="37"/>
      <c r="Q332" s="37"/>
      <c r="R332" s="37"/>
      <c r="S332" s="37"/>
      <c r="T332" s="37"/>
      <c r="U332" s="37"/>
      <c r="V332" s="37"/>
      <c r="W332" s="37"/>
      <c r="X332" s="37"/>
    </row>
    <row r="333" customFormat="false" ht="21.75" hidden="false" customHeight="true" outlineLevel="0" collapsed="false">
      <c r="A333" s="42"/>
      <c r="B333" s="42"/>
      <c r="C333" s="42"/>
      <c r="D333" s="42"/>
      <c r="E333" s="42"/>
      <c r="F333" s="42"/>
      <c r="G333" s="42"/>
      <c r="H333" s="42"/>
      <c r="I333" s="42"/>
      <c r="J333" s="43" t="str">
        <f aca="false">IF(I333="","",ROUND(I333/1.2,2))</f>
        <v/>
      </c>
      <c r="K333" s="42"/>
      <c r="L333" s="43" t="str">
        <f aca="false">IF(OR(I333="",K333=""),"",I333-K333)</f>
        <v/>
      </c>
      <c r="M333" s="43" t="str">
        <f aca="false">IF(L333="","",L333-N333)</f>
        <v/>
      </c>
      <c r="N333" s="45" t="str">
        <f aca="false">IF(L333="","",ROUND(L333/6,2))</f>
        <v/>
      </c>
      <c r="O333" s="44" t="str">
        <f aca="false">IF(OR(K333="",K333=0),"",M333/K333)</f>
        <v/>
      </c>
      <c r="P333" s="42"/>
      <c r="Q333" s="42"/>
      <c r="R333" s="42"/>
      <c r="S333" s="42"/>
      <c r="T333" s="42"/>
      <c r="U333" s="42"/>
      <c r="V333" s="42"/>
      <c r="W333" s="42"/>
      <c r="X333" s="42"/>
    </row>
    <row r="334" customFormat="false" ht="21.75" hidden="false" customHeight="true" outlineLevel="0" collapsed="false">
      <c r="A334" s="37"/>
      <c r="B334" s="37"/>
      <c r="C334" s="37"/>
      <c r="D334" s="37"/>
      <c r="E334" s="37"/>
      <c r="F334" s="37"/>
      <c r="G334" s="37"/>
      <c r="H334" s="37"/>
      <c r="I334" s="37"/>
      <c r="J334" s="38" t="str">
        <f aca="false">IF(I334="","",ROUND(I334/1.2,2))</f>
        <v/>
      </c>
      <c r="K334" s="37"/>
      <c r="L334" s="38" t="str">
        <f aca="false">IF(OR(I334="",K334=""),"",I334-K334)</f>
        <v/>
      </c>
      <c r="M334" s="38" t="str">
        <f aca="false">IF(L334="","",L334-N334)</f>
        <v/>
      </c>
      <c r="N334" s="40" t="str">
        <f aca="false">IF(L334="","",ROUND(L334/6,2))</f>
        <v/>
      </c>
      <c r="O334" s="39" t="str">
        <f aca="false">IF(OR(K334="",K334=0),"",M334/K334)</f>
        <v/>
      </c>
      <c r="P334" s="37"/>
      <c r="Q334" s="37"/>
      <c r="R334" s="37"/>
      <c r="S334" s="37"/>
      <c r="T334" s="37"/>
      <c r="U334" s="37"/>
      <c r="V334" s="37"/>
      <c r="W334" s="37"/>
      <c r="X334" s="37"/>
    </row>
    <row r="335" customFormat="false" ht="21.75" hidden="false" customHeight="true" outlineLevel="0" collapsed="false">
      <c r="A335" s="42"/>
      <c r="B335" s="42"/>
      <c r="C335" s="42"/>
      <c r="D335" s="42"/>
      <c r="E335" s="42"/>
      <c r="F335" s="42"/>
      <c r="G335" s="42"/>
      <c r="H335" s="42"/>
      <c r="I335" s="42"/>
      <c r="J335" s="43" t="str">
        <f aca="false">IF(I335="","",ROUND(I335/1.2,2))</f>
        <v/>
      </c>
      <c r="K335" s="42"/>
      <c r="L335" s="43" t="str">
        <f aca="false">IF(OR(I335="",K335=""),"",I335-K335)</f>
        <v/>
      </c>
      <c r="M335" s="43" t="str">
        <f aca="false">IF(L335="","",L335-N335)</f>
        <v/>
      </c>
      <c r="N335" s="45" t="str">
        <f aca="false">IF(L335="","",ROUND(L335/6,2))</f>
        <v/>
      </c>
      <c r="O335" s="44" t="str">
        <f aca="false">IF(OR(K335="",K335=0),"",M335/K335)</f>
        <v/>
      </c>
      <c r="P335" s="42"/>
      <c r="Q335" s="42"/>
      <c r="R335" s="42"/>
      <c r="S335" s="42"/>
      <c r="T335" s="42"/>
      <c r="U335" s="42"/>
      <c r="V335" s="42"/>
      <c r="W335" s="42"/>
      <c r="X335" s="42"/>
    </row>
    <row r="336" customFormat="false" ht="21.75" hidden="false" customHeight="true" outlineLevel="0" collapsed="false">
      <c r="A336" s="37"/>
      <c r="B336" s="37"/>
      <c r="C336" s="37"/>
      <c r="D336" s="37"/>
      <c r="E336" s="37"/>
      <c r="F336" s="37"/>
      <c r="G336" s="37"/>
      <c r="H336" s="37"/>
      <c r="I336" s="37"/>
      <c r="J336" s="38" t="str">
        <f aca="false">IF(I336="","",ROUND(I336/1.2,2))</f>
        <v/>
      </c>
      <c r="K336" s="37"/>
      <c r="L336" s="38" t="str">
        <f aca="false">IF(OR(I336="",K336=""),"",I336-K336)</f>
        <v/>
      </c>
      <c r="M336" s="38" t="str">
        <f aca="false">IF(L336="","",L336-N336)</f>
        <v/>
      </c>
      <c r="N336" s="40" t="str">
        <f aca="false">IF(L336="","",ROUND(L336/6,2))</f>
        <v/>
      </c>
      <c r="O336" s="39" t="str">
        <f aca="false">IF(OR(K336="",K336=0),"",M336/K336)</f>
        <v/>
      </c>
      <c r="P336" s="37"/>
      <c r="Q336" s="37"/>
      <c r="R336" s="37"/>
      <c r="S336" s="37"/>
      <c r="T336" s="37"/>
      <c r="U336" s="37"/>
      <c r="V336" s="37"/>
      <c r="W336" s="37"/>
      <c r="X336" s="37"/>
    </row>
    <row r="337" customFormat="false" ht="21.75" hidden="false" customHeight="true" outlineLevel="0" collapsed="false">
      <c r="A337" s="42"/>
      <c r="B337" s="42"/>
      <c r="C337" s="42"/>
      <c r="D337" s="42"/>
      <c r="E337" s="42"/>
      <c r="F337" s="42"/>
      <c r="G337" s="42"/>
      <c r="H337" s="42"/>
      <c r="I337" s="42"/>
      <c r="J337" s="43" t="str">
        <f aca="false">IF(I337="","",ROUND(I337/1.2,2))</f>
        <v/>
      </c>
      <c r="K337" s="42"/>
      <c r="L337" s="43" t="str">
        <f aca="false">IF(OR(I337="",K337=""),"",I337-K337)</f>
        <v/>
      </c>
      <c r="M337" s="43" t="str">
        <f aca="false">IF(L337="","",L337-N337)</f>
        <v/>
      </c>
      <c r="N337" s="45" t="str">
        <f aca="false">IF(L337="","",ROUND(L337/6,2))</f>
        <v/>
      </c>
      <c r="O337" s="44" t="str">
        <f aca="false">IF(OR(K337="",K337=0),"",M337/K337)</f>
        <v/>
      </c>
      <c r="P337" s="42"/>
      <c r="Q337" s="42"/>
      <c r="R337" s="42"/>
      <c r="S337" s="42"/>
      <c r="T337" s="42"/>
      <c r="U337" s="42"/>
      <c r="V337" s="42"/>
      <c r="W337" s="42"/>
      <c r="X337" s="42"/>
    </row>
    <row r="338" customFormat="false" ht="21.75" hidden="false" customHeight="true" outlineLevel="0" collapsed="false">
      <c r="A338" s="37"/>
      <c r="B338" s="37"/>
      <c r="C338" s="37"/>
      <c r="D338" s="37"/>
      <c r="E338" s="37"/>
      <c r="F338" s="37"/>
      <c r="G338" s="37"/>
      <c r="H338" s="37"/>
      <c r="I338" s="37"/>
      <c r="J338" s="38" t="str">
        <f aca="false">IF(I338="","",ROUND(I338/1.2,2))</f>
        <v/>
      </c>
      <c r="K338" s="37"/>
      <c r="L338" s="38" t="str">
        <f aca="false">IF(OR(I338="",K338=""),"",I338-K338)</f>
        <v/>
      </c>
      <c r="M338" s="38" t="str">
        <f aca="false">IF(L338="","",L338-N338)</f>
        <v/>
      </c>
      <c r="N338" s="40" t="str">
        <f aca="false">IF(L338="","",ROUND(L338/6,2))</f>
        <v/>
      </c>
      <c r="O338" s="39" t="str">
        <f aca="false">IF(OR(K338="",K338=0),"",M338/K338)</f>
        <v/>
      </c>
      <c r="P338" s="37"/>
      <c r="Q338" s="37"/>
      <c r="R338" s="37"/>
      <c r="S338" s="37"/>
      <c r="T338" s="37"/>
      <c r="U338" s="37"/>
      <c r="V338" s="37"/>
      <c r="W338" s="37"/>
      <c r="X338" s="37"/>
    </row>
    <row r="339" customFormat="false" ht="21.75" hidden="false" customHeight="true" outlineLevel="0" collapsed="false">
      <c r="A339" s="42"/>
      <c r="B339" s="42"/>
      <c r="C339" s="42"/>
      <c r="D339" s="42"/>
      <c r="E339" s="42"/>
      <c r="F339" s="42"/>
      <c r="G339" s="42"/>
      <c r="H339" s="42"/>
      <c r="I339" s="42"/>
      <c r="J339" s="43" t="str">
        <f aca="false">IF(I339="","",ROUND(I339/1.2,2))</f>
        <v/>
      </c>
      <c r="K339" s="42"/>
      <c r="L339" s="43" t="str">
        <f aca="false">IF(OR(I339="",K339=""),"",I339-K339)</f>
        <v/>
      </c>
      <c r="M339" s="43" t="str">
        <f aca="false">IF(L339="","",L339-N339)</f>
        <v/>
      </c>
      <c r="N339" s="45" t="str">
        <f aca="false">IF(L339="","",ROUND(L339/6,2))</f>
        <v/>
      </c>
      <c r="O339" s="44" t="str">
        <f aca="false">IF(OR(K339="",K339=0),"",M339/K339)</f>
        <v/>
      </c>
      <c r="P339" s="42"/>
      <c r="Q339" s="42"/>
      <c r="R339" s="42"/>
      <c r="S339" s="42"/>
      <c r="T339" s="42"/>
      <c r="U339" s="42"/>
      <c r="V339" s="42"/>
      <c r="W339" s="42"/>
      <c r="X339" s="42"/>
    </row>
    <row r="340" customFormat="false" ht="21.75" hidden="false" customHeight="true" outlineLevel="0" collapsed="false">
      <c r="A340" s="37"/>
      <c r="B340" s="37"/>
      <c r="C340" s="37"/>
      <c r="D340" s="37"/>
      <c r="E340" s="37"/>
      <c r="F340" s="37"/>
      <c r="G340" s="37"/>
      <c r="H340" s="37"/>
      <c r="I340" s="37"/>
      <c r="J340" s="38" t="str">
        <f aca="false">IF(I340="","",ROUND(I340/1.2,2))</f>
        <v/>
      </c>
      <c r="K340" s="37"/>
      <c r="L340" s="38" t="str">
        <f aca="false">IF(OR(I340="",K340=""),"",I340-K340)</f>
        <v/>
      </c>
      <c r="M340" s="38" t="str">
        <f aca="false">IF(L340="","",L340-N340)</f>
        <v/>
      </c>
      <c r="N340" s="40" t="str">
        <f aca="false">IF(L340="","",ROUND(L340/6,2))</f>
        <v/>
      </c>
      <c r="O340" s="39" t="str">
        <f aca="false">IF(OR(K340="",K340=0),"",M340/K340)</f>
        <v/>
      </c>
      <c r="P340" s="37"/>
      <c r="Q340" s="37"/>
      <c r="R340" s="37"/>
      <c r="S340" s="37"/>
      <c r="T340" s="37"/>
      <c r="U340" s="37"/>
      <c r="V340" s="37"/>
      <c r="W340" s="37"/>
      <c r="X340" s="37"/>
    </row>
    <row r="341" customFormat="false" ht="21.75" hidden="false" customHeight="true" outlineLevel="0" collapsed="false">
      <c r="A341" s="42"/>
      <c r="B341" s="42"/>
      <c r="C341" s="42"/>
      <c r="D341" s="42"/>
      <c r="E341" s="42"/>
      <c r="F341" s="42"/>
      <c r="G341" s="42"/>
      <c r="H341" s="42"/>
      <c r="I341" s="42"/>
      <c r="J341" s="43" t="str">
        <f aca="false">IF(I341="","",ROUND(I341/1.2,2))</f>
        <v/>
      </c>
      <c r="K341" s="42"/>
      <c r="L341" s="43" t="str">
        <f aca="false">IF(OR(I341="",K341=""),"",I341-K341)</f>
        <v/>
      </c>
      <c r="M341" s="43" t="str">
        <f aca="false">IF(L341="","",L341-N341)</f>
        <v/>
      </c>
      <c r="N341" s="45" t="str">
        <f aca="false">IF(L341="","",ROUND(L341/6,2))</f>
        <v/>
      </c>
      <c r="O341" s="44" t="str">
        <f aca="false">IF(OR(K341="",K341=0),"",M341/K341)</f>
        <v/>
      </c>
      <c r="P341" s="42"/>
      <c r="Q341" s="42"/>
      <c r="R341" s="42"/>
      <c r="S341" s="42"/>
      <c r="T341" s="42"/>
      <c r="U341" s="42"/>
      <c r="V341" s="42"/>
      <c r="W341" s="42"/>
      <c r="X341" s="42"/>
    </row>
    <row r="342" customFormat="false" ht="21.75" hidden="false" customHeight="true" outlineLevel="0" collapsed="false">
      <c r="A342" s="37"/>
      <c r="B342" s="37"/>
      <c r="C342" s="37"/>
      <c r="D342" s="37"/>
      <c r="E342" s="37"/>
      <c r="F342" s="37"/>
      <c r="G342" s="37"/>
      <c r="H342" s="37"/>
      <c r="I342" s="37"/>
      <c r="J342" s="38" t="str">
        <f aca="false">IF(I342="","",ROUND(I342/1.2,2))</f>
        <v/>
      </c>
      <c r="K342" s="37"/>
      <c r="L342" s="38" t="str">
        <f aca="false">IF(OR(I342="",K342=""),"",I342-K342)</f>
        <v/>
      </c>
      <c r="M342" s="38" t="str">
        <f aca="false">IF(L342="","",L342-N342)</f>
        <v/>
      </c>
      <c r="N342" s="40" t="str">
        <f aca="false">IF(L342="","",ROUND(L342/6,2))</f>
        <v/>
      </c>
      <c r="O342" s="39" t="str">
        <f aca="false">IF(OR(K342="",K342=0),"",M342/K342)</f>
        <v/>
      </c>
      <c r="P342" s="37"/>
      <c r="Q342" s="37"/>
      <c r="R342" s="37"/>
      <c r="S342" s="37"/>
      <c r="T342" s="37"/>
      <c r="U342" s="37"/>
      <c r="V342" s="37"/>
      <c r="W342" s="37"/>
      <c r="X342" s="37"/>
    </row>
    <row r="343" customFormat="false" ht="21.75" hidden="false" customHeight="true" outlineLevel="0" collapsed="false">
      <c r="A343" s="42"/>
      <c r="B343" s="42"/>
      <c r="C343" s="42"/>
      <c r="D343" s="42"/>
      <c r="E343" s="42"/>
      <c r="F343" s="42"/>
      <c r="G343" s="42"/>
      <c r="H343" s="42"/>
      <c r="I343" s="42"/>
      <c r="J343" s="43" t="str">
        <f aca="false">IF(I343="","",ROUND(I343/1.2,2))</f>
        <v/>
      </c>
      <c r="K343" s="42"/>
      <c r="L343" s="43" t="str">
        <f aca="false">IF(OR(I343="",K343=""),"",I343-K343)</f>
        <v/>
      </c>
      <c r="M343" s="43" t="str">
        <f aca="false">IF(L343="","",L343-N343)</f>
        <v/>
      </c>
      <c r="N343" s="45" t="str">
        <f aca="false">IF(L343="","",ROUND(L343/6,2))</f>
        <v/>
      </c>
      <c r="O343" s="44" t="str">
        <f aca="false">IF(OR(K343="",K343=0),"",M343/K343)</f>
        <v/>
      </c>
      <c r="P343" s="42"/>
      <c r="Q343" s="42"/>
      <c r="R343" s="42"/>
      <c r="S343" s="42"/>
      <c r="T343" s="42"/>
      <c r="U343" s="42"/>
      <c r="V343" s="42"/>
      <c r="W343" s="42"/>
      <c r="X343" s="42"/>
    </row>
    <row r="344" customFormat="false" ht="21.75" hidden="false" customHeight="true" outlineLevel="0" collapsed="false">
      <c r="A344" s="37"/>
      <c r="B344" s="37"/>
      <c r="C344" s="37"/>
      <c r="D344" s="37"/>
      <c r="E344" s="37"/>
      <c r="F344" s="37"/>
      <c r="G344" s="37"/>
      <c r="H344" s="37"/>
      <c r="I344" s="37"/>
      <c r="J344" s="38" t="str">
        <f aca="false">IF(I344="","",ROUND(I344/1.2,2))</f>
        <v/>
      </c>
      <c r="K344" s="37"/>
      <c r="L344" s="38" t="str">
        <f aca="false">IF(OR(I344="",K344=""),"",I344-K344)</f>
        <v/>
      </c>
      <c r="M344" s="38" t="str">
        <f aca="false">IF(L344="","",L344-N344)</f>
        <v/>
      </c>
      <c r="N344" s="40" t="str">
        <f aca="false">IF(L344="","",ROUND(L344/6,2))</f>
        <v/>
      </c>
      <c r="O344" s="39" t="str">
        <f aca="false">IF(OR(K344="",K344=0),"",M344/K344)</f>
        <v/>
      </c>
      <c r="P344" s="37"/>
      <c r="Q344" s="37"/>
      <c r="R344" s="37"/>
      <c r="S344" s="37"/>
      <c r="T344" s="37"/>
      <c r="U344" s="37"/>
      <c r="V344" s="37"/>
      <c r="W344" s="37"/>
      <c r="X344" s="37"/>
    </row>
    <row r="345" customFormat="false" ht="21.75" hidden="false" customHeight="true" outlineLevel="0" collapsed="false">
      <c r="A345" s="42"/>
      <c r="B345" s="42"/>
      <c r="C345" s="42"/>
      <c r="D345" s="42"/>
      <c r="E345" s="42"/>
      <c r="F345" s="42"/>
      <c r="G345" s="42"/>
      <c r="H345" s="42"/>
      <c r="I345" s="42"/>
      <c r="J345" s="43" t="str">
        <f aca="false">IF(I345="","",ROUND(I345/1.2,2))</f>
        <v/>
      </c>
      <c r="K345" s="42"/>
      <c r="L345" s="43" t="str">
        <f aca="false">IF(OR(I345="",K345=""),"",I345-K345)</f>
        <v/>
      </c>
      <c r="M345" s="43" t="str">
        <f aca="false">IF(L345="","",L345-N345)</f>
        <v/>
      </c>
      <c r="N345" s="45" t="str">
        <f aca="false">IF(L345="","",ROUND(L345/6,2))</f>
        <v/>
      </c>
      <c r="O345" s="44" t="str">
        <f aca="false">IF(OR(K345="",K345=0),"",M345/K345)</f>
        <v/>
      </c>
      <c r="P345" s="42"/>
      <c r="Q345" s="42"/>
      <c r="R345" s="42"/>
      <c r="S345" s="42"/>
      <c r="T345" s="42"/>
      <c r="U345" s="42"/>
      <c r="V345" s="42"/>
      <c r="W345" s="42"/>
      <c r="X345" s="42"/>
    </row>
    <row r="346" customFormat="false" ht="21.75" hidden="false" customHeight="true" outlineLevel="0" collapsed="false">
      <c r="A346" s="37"/>
      <c r="B346" s="37"/>
      <c r="C346" s="37"/>
      <c r="D346" s="37"/>
      <c r="E346" s="37"/>
      <c r="F346" s="37"/>
      <c r="G346" s="37"/>
      <c r="H346" s="37"/>
      <c r="I346" s="37"/>
      <c r="J346" s="38" t="str">
        <f aca="false">IF(I346="","",ROUND(I346/1.2,2))</f>
        <v/>
      </c>
      <c r="K346" s="37"/>
      <c r="L346" s="38" t="str">
        <f aca="false">IF(OR(I346="",K346=""),"",I346-K346)</f>
        <v/>
      </c>
      <c r="M346" s="38" t="str">
        <f aca="false">IF(L346="","",L346-N346)</f>
        <v/>
      </c>
      <c r="N346" s="40" t="str">
        <f aca="false">IF(L346="","",ROUND(L346/6,2))</f>
        <v/>
      </c>
      <c r="O346" s="39" t="str">
        <f aca="false">IF(OR(K346="",K346=0),"",M346/K346)</f>
        <v/>
      </c>
      <c r="P346" s="37"/>
      <c r="Q346" s="37"/>
      <c r="R346" s="37"/>
      <c r="S346" s="37"/>
      <c r="T346" s="37"/>
      <c r="U346" s="37"/>
      <c r="V346" s="37"/>
      <c r="W346" s="37"/>
      <c r="X346" s="37"/>
    </row>
    <row r="347" customFormat="false" ht="21.75" hidden="false" customHeight="true" outlineLevel="0" collapsed="false">
      <c r="A347" s="42"/>
      <c r="B347" s="42"/>
      <c r="C347" s="42"/>
      <c r="D347" s="42"/>
      <c r="E347" s="42"/>
      <c r="F347" s="42"/>
      <c r="G347" s="42"/>
      <c r="H347" s="42"/>
      <c r="I347" s="42"/>
      <c r="J347" s="43" t="str">
        <f aca="false">IF(I347="","",ROUND(I347/1.2,2))</f>
        <v/>
      </c>
      <c r="K347" s="42"/>
      <c r="L347" s="43" t="str">
        <f aca="false">IF(OR(I347="",K347=""),"",I347-K347)</f>
        <v/>
      </c>
      <c r="M347" s="43" t="str">
        <f aca="false">IF(L347="","",L347-N347)</f>
        <v/>
      </c>
      <c r="N347" s="45" t="str">
        <f aca="false">IF(L347="","",ROUND(L347/6,2))</f>
        <v/>
      </c>
      <c r="O347" s="44" t="str">
        <f aca="false">IF(OR(K347="",K347=0),"",M347/K347)</f>
        <v/>
      </c>
      <c r="P347" s="42"/>
      <c r="Q347" s="42"/>
      <c r="R347" s="42"/>
      <c r="S347" s="42"/>
      <c r="T347" s="42"/>
      <c r="U347" s="42"/>
      <c r="V347" s="42"/>
      <c r="W347" s="42"/>
      <c r="X347" s="42"/>
    </row>
    <row r="348" customFormat="false" ht="21.75" hidden="false" customHeight="true" outlineLevel="0" collapsed="false">
      <c r="A348" s="37"/>
      <c r="B348" s="37"/>
      <c r="C348" s="37"/>
      <c r="D348" s="37"/>
      <c r="E348" s="37"/>
      <c r="F348" s="37"/>
      <c r="G348" s="37"/>
      <c r="H348" s="37"/>
      <c r="I348" s="37"/>
      <c r="J348" s="38" t="str">
        <f aca="false">IF(I348="","",ROUND(I348/1.2,2))</f>
        <v/>
      </c>
      <c r="K348" s="37"/>
      <c r="L348" s="38" t="str">
        <f aca="false">IF(OR(I348="",K348=""),"",I348-K348)</f>
        <v/>
      </c>
      <c r="M348" s="38" t="str">
        <f aca="false">IF(L348="","",L348-N348)</f>
        <v/>
      </c>
      <c r="N348" s="40" t="str">
        <f aca="false">IF(L348="","",ROUND(L348/6,2))</f>
        <v/>
      </c>
      <c r="O348" s="39" t="str">
        <f aca="false">IF(OR(K348="",K348=0),"",M348/K348)</f>
        <v/>
      </c>
      <c r="P348" s="37"/>
      <c r="Q348" s="37"/>
      <c r="R348" s="37"/>
      <c r="S348" s="37"/>
      <c r="T348" s="37"/>
      <c r="U348" s="37"/>
      <c r="V348" s="37"/>
      <c r="W348" s="37"/>
      <c r="X348" s="37"/>
    </row>
    <row r="349" customFormat="false" ht="21.75" hidden="false" customHeight="true" outlineLevel="0" collapsed="false">
      <c r="A349" s="42"/>
      <c r="B349" s="42"/>
      <c r="C349" s="42"/>
      <c r="D349" s="42"/>
      <c r="E349" s="42"/>
      <c r="F349" s="42"/>
      <c r="G349" s="42"/>
      <c r="H349" s="42"/>
      <c r="I349" s="42"/>
      <c r="J349" s="43" t="str">
        <f aca="false">IF(I349="","",ROUND(I349/1.2,2))</f>
        <v/>
      </c>
      <c r="K349" s="42"/>
      <c r="L349" s="43" t="str">
        <f aca="false">IF(OR(I349="",K349=""),"",I349-K349)</f>
        <v/>
      </c>
      <c r="M349" s="43" t="str">
        <f aca="false">IF(L349="","",L349-N349)</f>
        <v/>
      </c>
      <c r="N349" s="45" t="str">
        <f aca="false">IF(L349="","",ROUND(L349/6,2))</f>
        <v/>
      </c>
      <c r="O349" s="44" t="str">
        <f aca="false">IF(OR(K349="",K349=0),"",M349/K349)</f>
        <v/>
      </c>
      <c r="P349" s="42"/>
      <c r="Q349" s="42"/>
      <c r="R349" s="42"/>
      <c r="S349" s="42"/>
      <c r="T349" s="42"/>
      <c r="U349" s="42"/>
      <c r="V349" s="42"/>
      <c r="W349" s="42"/>
      <c r="X349" s="42"/>
    </row>
    <row r="350" customFormat="false" ht="21.75" hidden="false" customHeight="true" outlineLevel="0" collapsed="false">
      <c r="A350" s="37"/>
      <c r="B350" s="37"/>
      <c r="C350" s="37"/>
      <c r="D350" s="37"/>
      <c r="E350" s="37"/>
      <c r="F350" s="37"/>
      <c r="G350" s="37"/>
      <c r="H350" s="37"/>
      <c r="I350" s="37"/>
      <c r="J350" s="38" t="str">
        <f aca="false">IF(I350="","",ROUND(I350/1.2,2))</f>
        <v/>
      </c>
      <c r="K350" s="37"/>
      <c r="L350" s="38" t="str">
        <f aca="false">IF(OR(I350="",K350=""),"",I350-K350)</f>
        <v/>
      </c>
      <c r="M350" s="38" t="str">
        <f aca="false">IF(L350="","",L350-N350)</f>
        <v/>
      </c>
      <c r="N350" s="40" t="str">
        <f aca="false">IF(L350="","",ROUND(L350/6,2))</f>
        <v/>
      </c>
      <c r="O350" s="39" t="str">
        <f aca="false">IF(OR(K350="",K350=0),"",M350/K350)</f>
        <v/>
      </c>
      <c r="P350" s="37"/>
      <c r="Q350" s="37"/>
      <c r="R350" s="37"/>
      <c r="S350" s="37"/>
      <c r="T350" s="37"/>
      <c r="U350" s="37"/>
      <c r="V350" s="37"/>
      <c r="W350" s="37"/>
      <c r="X350" s="37"/>
    </row>
    <row r="351" customFormat="false" ht="21.75" hidden="false" customHeight="true" outlineLevel="0" collapsed="false">
      <c r="A351" s="42"/>
      <c r="B351" s="42"/>
      <c r="C351" s="42"/>
      <c r="D351" s="42"/>
      <c r="E351" s="42"/>
      <c r="F351" s="42"/>
      <c r="G351" s="42"/>
      <c r="H351" s="42"/>
      <c r="I351" s="42"/>
      <c r="J351" s="43" t="str">
        <f aca="false">IF(I351="","",ROUND(I351/1.2,2))</f>
        <v/>
      </c>
      <c r="K351" s="42"/>
      <c r="L351" s="43" t="str">
        <f aca="false">IF(OR(I351="",K351=""),"",I351-K351)</f>
        <v/>
      </c>
      <c r="M351" s="43" t="str">
        <f aca="false">IF(L351="","",L351-N351)</f>
        <v/>
      </c>
      <c r="N351" s="45" t="str">
        <f aca="false">IF(L351="","",ROUND(L351/6,2))</f>
        <v/>
      </c>
      <c r="O351" s="44" t="str">
        <f aca="false">IF(OR(K351="",K351=0),"",M351/K351)</f>
        <v/>
      </c>
      <c r="P351" s="42"/>
      <c r="Q351" s="42"/>
      <c r="R351" s="42"/>
      <c r="S351" s="42"/>
      <c r="T351" s="42"/>
      <c r="U351" s="42"/>
      <c r="V351" s="42"/>
      <c r="W351" s="42"/>
      <c r="X351" s="42"/>
    </row>
    <row r="352" customFormat="false" ht="21.75" hidden="false" customHeight="true" outlineLevel="0" collapsed="false">
      <c r="A352" s="37"/>
      <c r="B352" s="37"/>
      <c r="C352" s="37"/>
      <c r="D352" s="37"/>
      <c r="E352" s="37"/>
      <c r="F352" s="37"/>
      <c r="G352" s="37"/>
      <c r="H352" s="37"/>
      <c r="I352" s="37"/>
      <c r="J352" s="38" t="str">
        <f aca="false">IF(I352="","",ROUND(I352/1.2,2))</f>
        <v/>
      </c>
      <c r="K352" s="37"/>
      <c r="L352" s="38" t="str">
        <f aca="false">IF(OR(I352="",K352=""),"",I352-K352)</f>
        <v/>
      </c>
      <c r="M352" s="38" t="str">
        <f aca="false">IF(L352="","",L352-N352)</f>
        <v/>
      </c>
      <c r="N352" s="40" t="str">
        <f aca="false">IF(L352="","",ROUND(L352/6,2))</f>
        <v/>
      </c>
      <c r="O352" s="39" t="str">
        <f aca="false">IF(OR(K352="",K352=0),"",M352/K352)</f>
        <v/>
      </c>
      <c r="P352" s="37"/>
      <c r="Q352" s="37"/>
      <c r="R352" s="37"/>
      <c r="S352" s="37"/>
      <c r="T352" s="37"/>
      <c r="U352" s="37"/>
      <c r="V352" s="37"/>
      <c r="W352" s="37"/>
      <c r="X352" s="37"/>
    </row>
    <row r="353" customFormat="false" ht="21.75" hidden="false" customHeight="true" outlineLevel="0" collapsed="false">
      <c r="A353" s="42"/>
      <c r="B353" s="42"/>
      <c r="C353" s="42"/>
      <c r="D353" s="42"/>
      <c r="E353" s="42"/>
      <c r="F353" s="42"/>
      <c r="G353" s="42"/>
      <c r="H353" s="42"/>
      <c r="I353" s="42"/>
      <c r="J353" s="43" t="str">
        <f aca="false">IF(I353="","",ROUND(I353/1.2,2))</f>
        <v/>
      </c>
      <c r="K353" s="42"/>
      <c r="L353" s="43" t="str">
        <f aca="false">IF(OR(I353="",K353=""),"",I353-K353)</f>
        <v/>
      </c>
      <c r="M353" s="43" t="str">
        <f aca="false">IF(L353="","",L353-N353)</f>
        <v/>
      </c>
      <c r="N353" s="45" t="str">
        <f aca="false">IF(L353="","",ROUND(L353/6,2))</f>
        <v/>
      </c>
      <c r="O353" s="44" t="str">
        <f aca="false">IF(OR(K353="",K353=0),"",M353/K353)</f>
        <v/>
      </c>
      <c r="P353" s="42"/>
      <c r="Q353" s="42"/>
      <c r="R353" s="42"/>
      <c r="S353" s="42"/>
      <c r="T353" s="42"/>
      <c r="U353" s="42"/>
      <c r="V353" s="42"/>
      <c r="W353" s="42"/>
      <c r="X353" s="42"/>
    </row>
    <row r="354" customFormat="false" ht="21.75" hidden="false" customHeight="true" outlineLevel="0" collapsed="false">
      <c r="A354" s="37"/>
      <c r="B354" s="37"/>
      <c r="C354" s="37"/>
      <c r="D354" s="37"/>
      <c r="E354" s="37"/>
      <c r="F354" s="37"/>
      <c r="G354" s="37"/>
      <c r="H354" s="37"/>
      <c r="I354" s="37"/>
      <c r="J354" s="38" t="str">
        <f aca="false">IF(I354="","",ROUND(I354/1.2,2))</f>
        <v/>
      </c>
      <c r="K354" s="37"/>
      <c r="L354" s="38" t="str">
        <f aca="false">IF(OR(I354="",K354=""),"",I354-K354)</f>
        <v/>
      </c>
      <c r="M354" s="38" t="str">
        <f aca="false">IF(L354="","",L354-N354)</f>
        <v/>
      </c>
      <c r="N354" s="40" t="str">
        <f aca="false">IF(L354="","",ROUND(L354/6,2))</f>
        <v/>
      </c>
      <c r="O354" s="39" t="str">
        <f aca="false">IF(OR(K354="",K354=0),"",M354/K354)</f>
        <v/>
      </c>
      <c r="P354" s="37"/>
      <c r="Q354" s="37"/>
      <c r="R354" s="37"/>
      <c r="S354" s="37"/>
      <c r="T354" s="37"/>
      <c r="U354" s="37"/>
      <c r="V354" s="37"/>
      <c r="W354" s="37"/>
      <c r="X354" s="37"/>
    </row>
    <row r="355" customFormat="false" ht="21.75" hidden="false" customHeight="true" outlineLevel="0" collapsed="false">
      <c r="A355" s="42"/>
      <c r="B355" s="42"/>
      <c r="C355" s="42"/>
      <c r="D355" s="42"/>
      <c r="E355" s="42"/>
      <c r="F355" s="42"/>
      <c r="G355" s="42"/>
      <c r="H355" s="42"/>
      <c r="I355" s="42"/>
      <c r="J355" s="43" t="str">
        <f aca="false">IF(I355="","",ROUND(I355/1.2,2))</f>
        <v/>
      </c>
      <c r="K355" s="42"/>
      <c r="L355" s="43" t="str">
        <f aca="false">IF(OR(I355="",K355=""),"",I355-K355)</f>
        <v/>
      </c>
      <c r="M355" s="43" t="str">
        <f aca="false">IF(L355="","",L355-N355)</f>
        <v/>
      </c>
      <c r="N355" s="45" t="str">
        <f aca="false">IF(L355="","",ROUND(L355/6,2))</f>
        <v/>
      </c>
      <c r="O355" s="44" t="str">
        <f aca="false">IF(OR(K355="",K355=0),"",M355/K355)</f>
        <v/>
      </c>
      <c r="P355" s="42"/>
      <c r="Q355" s="42"/>
      <c r="R355" s="42"/>
      <c r="S355" s="42"/>
      <c r="T355" s="42"/>
      <c r="U355" s="42"/>
      <c r="V355" s="42"/>
      <c r="W355" s="42"/>
      <c r="X355" s="42"/>
    </row>
    <row r="356" customFormat="false" ht="21.75" hidden="false" customHeight="true" outlineLevel="0" collapsed="false">
      <c r="A356" s="37"/>
      <c r="B356" s="37"/>
      <c r="C356" s="37"/>
      <c r="D356" s="37"/>
      <c r="E356" s="37"/>
      <c r="F356" s="37"/>
      <c r="G356" s="37"/>
      <c r="H356" s="37"/>
      <c r="I356" s="37"/>
      <c r="J356" s="38" t="str">
        <f aca="false">IF(I356="","",ROUND(I356/1.2,2))</f>
        <v/>
      </c>
      <c r="K356" s="37"/>
      <c r="L356" s="38" t="str">
        <f aca="false">IF(OR(I356="",K356=""),"",I356-K356)</f>
        <v/>
      </c>
      <c r="M356" s="38" t="str">
        <f aca="false">IF(L356="","",L356-N356)</f>
        <v/>
      </c>
      <c r="N356" s="40" t="str">
        <f aca="false">IF(L356="","",ROUND(L356/6,2))</f>
        <v/>
      </c>
      <c r="O356" s="39" t="str">
        <f aca="false">IF(OR(K356="",K356=0),"",M356/K356)</f>
        <v/>
      </c>
      <c r="P356" s="37"/>
      <c r="Q356" s="37"/>
      <c r="R356" s="37"/>
      <c r="S356" s="37"/>
      <c r="T356" s="37"/>
      <c r="U356" s="37"/>
      <c r="V356" s="37"/>
      <c r="W356" s="37"/>
      <c r="X356" s="37"/>
    </row>
    <row r="357" customFormat="false" ht="21.75" hidden="false" customHeight="true" outlineLevel="0" collapsed="false">
      <c r="A357" s="42"/>
      <c r="B357" s="42"/>
      <c r="C357" s="42"/>
      <c r="D357" s="42"/>
      <c r="E357" s="42"/>
      <c r="F357" s="42"/>
      <c r="G357" s="42"/>
      <c r="H357" s="42"/>
      <c r="I357" s="42"/>
      <c r="J357" s="43" t="str">
        <f aca="false">IF(I357="","",ROUND(I357/1.2,2))</f>
        <v/>
      </c>
      <c r="K357" s="42"/>
      <c r="L357" s="43" t="str">
        <f aca="false">IF(OR(I357="",K357=""),"",I357-K357)</f>
        <v/>
      </c>
      <c r="M357" s="43" t="str">
        <f aca="false">IF(L357="","",L357-N357)</f>
        <v/>
      </c>
      <c r="N357" s="45" t="str">
        <f aca="false">IF(L357="","",ROUND(L357/6,2))</f>
        <v/>
      </c>
      <c r="O357" s="44" t="str">
        <f aca="false">IF(OR(K357="",K357=0),"",M357/K357)</f>
        <v/>
      </c>
      <c r="P357" s="42"/>
      <c r="Q357" s="42"/>
      <c r="R357" s="42"/>
      <c r="S357" s="42"/>
      <c r="T357" s="42"/>
      <c r="U357" s="42"/>
      <c r="V357" s="42"/>
      <c r="W357" s="42"/>
      <c r="X357" s="42"/>
    </row>
    <row r="358" customFormat="false" ht="21.75" hidden="false" customHeight="true" outlineLevel="0" collapsed="false">
      <c r="A358" s="37"/>
      <c r="B358" s="37"/>
      <c r="C358" s="37"/>
      <c r="D358" s="37"/>
      <c r="E358" s="37"/>
      <c r="F358" s="37"/>
      <c r="G358" s="37"/>
      <c r="H358" s="37"/>
      <c r="I358" s="37"/>
      <c r="J358" s="38" t="str">
        <f aca="false">IF(I358="","",ROUND(I358/1.2,2))</f>
        <v/>
      </c>
      <c r="K358" s="37"/>
      <c r="L358" s="38" t="str">
        <f aca="false">IF(OR(I358="",K358=""),"",I358-K358)</f>
        <v/>
      </c>
      <c r="M358" s="38" t="str">
        <f aca="false">IF(L358="","",L358-N358)</f>
        <v/>
      </c>
      <c r="N358" s="40" t="str">
        <f aca="false">IF(L358="","",ROUND(L358/6,2))</f>
        <v/>
      </c>
      <c r="O358" s="39" t="str">
        <f aca="false">IF(OR(K358="",K358=0),"",M358/K358)</f>
        <v/>
      </c>
      <c r="P358" s="37"/>
      <c r="Q358" s="37"/>
      <c r="R358" s="37"/>
      <c r="S358" s="37"/>
      <c r="T358" s="37"/>
      <c r="U358" s="37"/>
      <c r="V358" s="37"/>
      <c r="W358" s="37"/>
      <c r="X358" s="37"/>
    </row>
    <row r="359" customFormat="false" ht="21.75" hidden="false" customHeight="true" outlineLevel="0" collapsed="false">
      <c r="A359" s="42"/>
      <c r="B359" s="42"/>
      <c r="C359" s="42"/>
      <c r="D359" s="42"/>
      <c r="E359" s="42"/>
      <c r="F359" s="42"/>
      <c r="G359" s="42"/>
      <c r="H359" s="42"/>
      <c r="I359" s="42"/>
      <c r="J359" s="43" t="str">
        <f aca="false">IF(I359="","",ROUND(I359/1.2,2))</f>
        <v/>
      </c>
      <c r="K359" s="42"/>
      <c r="L359" s="43" t="str">
        <f aca="false">IF(OR(I359="",K359=""),"",I359-K359)</f>
        <v/>
      </c>
      <c r="M359" s="43" t="str">
        <f aca="false">IF(L359="","",L359-N359)</f>
        <v/>
      </c>
      <c r="N359" s="45" t="str">
        <f aca="false">IF(L359="","",ROUND(L359/6,2))</f>
        <v/>
      </c>
      <c r="O359" s="44" t="str">
        <f aca="false">IF(OR(K359="",K359=0),"",M359/K359)</f>
        <v/>
      </c>
      <c r="P359" s="42"/>
      <c r="Q359" s="42"/>
      <c r="R359" s="42"/>
      <c r="S359" s="42"/>
      <c r="T359" s="42"/>
      <c r="U359" s="42"/>
      <c r="V359" s="42"/>
      <c r="W359" s="42"/>
      <c r="X359" s="42"/>
    </row>
    <row r="360" customFormat="false" ht="21.75" hidden="false" customHeight="true" outlineLevel="0" collapsed="false">
      <c r="A360" s="37"/>
      <c r="B360" s="37"/>
      <c r="C360" s="37"/>
      <c r="D360" s="37"/>
      <c r="E360" s="37"/>
      <c r="F360" s="37"/>
      <c r="G360" s="37"/>
      <c r="H360" s="37"/>
      <c r="I360" s="37"/>
      <c r="J360" s="38" t="str">
        <f aca="false">IF(I360="","",ROUND(I360/1.2,2))</f>
        <v/>
      </c>
      <c r="K360" s="37"/>
      <c r="L360" s="38" t="str">
        <f aca="false">IF(OR(I360="",K360=""),"",I360-K360)</f>
        <v/>
      </c>
      <c r="M360" s="38" t="str">
        <f aca="false">IF(L360="","",L360-N360)</f>
        <v/>
      </c>
      <c r="N360" s="40" t="str">
        <f aca="false">IF(L360="","",ROUND(L360/6,2))</f>
        <v/>
      </c>
      <c r="O360" s="39" t="str">
        <f aca="false">IF(OR(K360="",K360=0),"",M360/K360)</f>
        <v/>
      </c>
      <c r="P360" s="37"/>
      <c r="Q360" s="37"/>
      <c r="R360" s="37"/>
      <c r="S360" s="37"/>
      <c r="T360" s="37"/>
      <c r="U360" s="37"/>
      <c r="V360" s="37"/>
      <c r="W360" s="37"/>
      <c r="X360" s="37"/>
    </row>
    <row r="361" customFormat="false" ht="21.75" hidden="false" customHeight="true" outlineLevel="0" collapsed="false">
      <c r="A361" s="42"/>
      <c r="B361" s="42"/>
      <c r="C361" s="42"/>
      <c r="D361" s="42"/>
      <c r="E361" s="42"/>
      <c r="F361" s="42"/>
      <c r="G361" s="42"/>
      <c r="H361" s="42"/>
      <c r="I361" s="42"/>
      <c r="J361" s="43" t="str">
        <f aca="false">IF(I361="","",ROUND(I361/1.2,2))</f>
        <v/>
      </c>
      <c r="K361" s="42"/>
      <c r="L361" s="43" t="str">
        <f aca="false">IF(OR(I361="",K361=""),"",I361-K361)</f>
        <v/>
      </c>
      <c r="M361" s="43" t="str">
        <f aca="false">IF(L361="","",L361-N361)</f>
        <v/>
      </c>
      <c r="N361" s="45" t="str">
        <f aca="false">IF(L361="","",ROUND(L361/6,2))</f>
        <v/>
      </c>
      <c r="O361" s="44" t="str">
        <f aca="false">IF(OR(K361="",K361=0),"",M361/K361)</f>
        <v/>
      </c>
      <c r="P361" s="42"/>
      <c r="Q361" s="42"/>
      <c r="R361" s="42"/>
      <c r="S361" s="42"/>
      <c r="T361" s="42"/>
      <c r="U361" s="42"/>
      <c r="V361" s="42"/>
      <c r="W361" s="42"/>
      <c r="X361" s="42"/>
    </row>
    <row r="362" customFormat="false" ht="21.75" hidden="false" customHeight="true" outlineLevel="0" collapsed="false">
      <c r="A362" s="37"/>
      <c r="B362" s="37"/>
      <c r="C362" s="37"/>
      <c r="D362" s="37"/>
      <c r="E362" s="37"/>
      <c r="F362" s="37"/>
      <c r="G362" s="37"/>
      <c r="H362" s="37"/>
      <c r="I362" s="37"/>
      <c r="J362" s="38" t="str">
        <f aca="false">IF(I362="","",ROUND(I362/1.2,2))</f>
        <v/>
      </c>
      <c r="K362" s="37"/>
      <c r="L362" s="38" t="str">
        <f aca="false">IF(OR(I362="",K362=""),"",I362-K362)</f>
        <v/>
      </c>
      <c r="M362" s="38" t="str">
        <f aca="false">IF(L362="","",L362-N362)</f>
        <v/>
      </c>
      <c r="N362" s="40" t="str">
        <f aca="false">IF(L362="","",ROUND(L362/6,2))</f>
        <v/>
      </c>
      <c r="O362" s="39" t="str">
        <f aca="false">IF(OR(K362="",K362=0),"",M362/K362)</f>
        <v/>
      </c>
      <c r="P362" s="37"/>
      <c r="Q362" s="37"/>
      <c r="R362" s="37"/>
      <c r="S362" s="37"/>
      <c r="T362" s="37"/>
      <c r="U362" s="37"/>
      <c r="V362" s="37"/>
      <c r="W362" s="37"/>
      <c r="X362" s="37"/>
    </row>
    <row r="363" customFormat="false" ht="21.75" hidden="false" customHeight="true" outlineLevel="0" collapsed="false">
      <c r="A363" s="42"/>
      <c r="B363" s="42"/>
      <c r="C363" s="42"/>
      <c r="D363" s="42"/>
      <c r="E363" s="42"/>
      <c r="F363" s="42"/>
      <c r="G363" s="42"/>
      <c r="H363" s="42"/>
      <c r="I363" s="42"/>
      <c r="J363" s="43" t="str">
        <f aca="false">IF(I363="","",ROUND(I363/1.2,2))</f>
        <v/>
      </c>
      <c r="K363" s="42"/>
      <c r="L363" s="43" t="str">
        <f aca="false">IF(OR(I363="",K363=""),"",I363-K363)</f>
        <v/>
      </c>
      <c r="M363" s="43" t="str">
        <f aca="false">IF(L363="","",L363-N363)</f>
        <v/>
      </c>
      <c r="N363" s="45" t="str">
        <f aca="false">IF(L363="","",ROUND(L363/6,2))</f>
        <v/>
      </c>
      <c r="O363" s="44" t="str">
        <f aca="false">IF(OR(K363="",K363=0),"",M363/K363)</f>
        <v/>
      </c>
      <c r="P363" s="42"/>
      <c r="Q363" s="42"/>
      <c r="R363" s="42"/>
      <c r="S363" s="42"/>
      <c r="T363" s="42"/>
      <c r="U363" s="42"/>
      <c r="V363" s="42"/>
      <c r="W363" s="42"/>
      <c r="X363" s="42"/>
    </row>
    <row r="364" customFormat="false" ht="21.75" hidden="false" customHeight="true" outlineLevel="0" collapsed="false">
      <c r="A364" s="37"/>
      <c r="B364" s="37"/>
      <c r="C364" s="37"/>
      <c r="D364" s="37"/>
      <c r="E364" s="37"/>
      <c r="F364" s="37"/>
      <c r="G364" s="37"/>
      <c r="H364" s="37"/>
      <c r="I364" s="37"/>
      <c r="J364" s="38" t="str">
        <f aca="false">IF(I364="","",ROUND(I364/1.2,2))</f>
        <v/>
      </c>
      <c r="K364" s="37"/>
      <c r="L364" s="38" t="str">
        <f aca="false">IF(OR(I364="",K364=""),"",I364-K364)</f>
        <v/>
      </c>
      <c r="M364" s="38" t="str">
        <f aca="false">IF(L364="","",L364-N364)</f>
        <v/>
      </c>
      <c r="N364" s="40" t="str">
        <f aca="false">IF(L364="","",ROUND(L364/6,2))</f>
        <v/>
      </c>
      <c r="O364" s="39" t="str">
        <f aca="false">IF(OR(K364="",K364=0),"",M364/K364)</f>
        <v/>
      </c>
      <c r="P364" s="37"/>
      <c r="Q364" s="37"/>
      <c r="R364" s="37"/>
      <c r="S364" s="37"/>
      <c r="T364" s="37"/>
      <c r="U364" s="37"/>
      <c r="V364" s="37"/>
      <c r="W364" s="37"/>
      <c r="X364" s="37"/>
    </row>
    <row r="365" customFormat="false" ht="21.75" hidden="false" customHeight="true" outlineLevel="0" collapsed="false">
      <c r="A365" s="42"/>
      <c r="B365" s="42"/>
      <c r="C365" s="42"/>
      <c r="D365" s="42"/>
      <c r="E365" s="42"/>
      <c r="F365" s="42"/>
      <c r="G365" s="42"/>
      <c r="H365" s="42"/>
      <c r="I365" s="42"/>
      <c r="J365" s="43" t="str">
        <f aca="false">IF(I365="","",ROUND(I365/1.2,2))</f>
        <v/>
      </c>
      <c r="K365" s="42"/>
      <c r="L365" s="43" t="str">
        <f aca="false">IF(OR(I365="",K365=""),"",I365-K365)</f>
        <v/>
      </c>
      <c r="M365" s="43" t="str">
        <f aca="false">IF(L365="","",L365-N365)</f>
        <v/>
      </c>
      <c r="N365" s="45" t="str">
        <f aca="false">IF(L365="","",ROUND(L365/6,2))</f>
        <v/>
      </c>
      <c r="O365" s="44" t="str">
        <f aca="false">IF(OR(K365="",K365=0),"",M365/K365)</f>
        <v/>
      </c>
      <c r="P365" s="42"/>
      <c r="Q365" s="42"/>
      <c r="R365" s="42"/>
      <c r="S365" s="42"/>
      <c r="T365" s="42"/>
      <c r="U365" s="42"/>
      <c r="V365" s="42"/>
      <c r="W365" s="42"/>
      <c r="X365" s="42"/>
    </row>
    <row r="366" customFormat="false" ht="21.75" hidden="false" customHeight="true" outlineLevel="0" collapsed="false">
      <c r="A366" s="37"/>
      <c r="B366" s="37"/>
      <c r="C366" s="37"/>
      <c r="D366" s="37"/>
      <c r="E366" s="37"/>
      <c r="F366" s="37"/>
      <c r="G366" s="37"/>
      <c r="H366" s="37"/>
      <c r="I366" s="37"/>
      <c r="J366" s="38" t="str">
        <f aca="false">IF(I366="","",ROUND(I366/1.2,2))</f>
        <v/>
      </c>
      <c r="K366" s="37"/>
      <c r="L366" s="38" t="str">
        <f aca="false">IF(OR(I366="",K366=""),"",I366-K366)</f>
        <v/>
      </c>
      <c r="M366" s="38" t="str">
        <f aca="false">IF(L366="","",L366-N366)</f>
        <v/>
      </c>
      <c r="N366" s="40" t="str">
        <f aca="false">IF(L366="","",ROUND(L366/6,2))</f>
        <v/>
      </c>
      <c r="O366" s="39" t="str">
        <f aca="false">IF(OR(K366="",K366=0),"",M366/K366)</f>
        <v/>
      </c>
      <c r="P366" s="37"/>
      <c r="Q366" s="37"/>
      <c r="R366" s="37"/>
      <c r="S366" s="37"/>
      <c r="T366" s="37"/>
      <c r="U366" s="37"/>
      <c r="V366" s="37"/>
      <c r="W366" s="37"/>
      <c r="X366" s="37"/>
    </row>
    <row r="367" customFormat="false" ht="21.75" hidden="false" customHeight="true" outlineLevel="0" collapsed="false">
      <c r="A367" s="42"/>
      <c r="B367" s="42"/>
      <c r="C367" s="42"/>
      <c r="D367" s="42"/>
      <c r="E367" s="42"/>
      <c r="F367" s="42"/>
      <c r="G367" s="42"/>
      <c r="H367" s="42"/>
      <c r="I367" s="42"/>
      <c r="J367" s="43" t="str">
        <f aca="false">IF(I367="","",ROUND(I367/1.2,2))</f>
        <v/>
      </c>
      <c r="K367" s="42"/>
      <c r="L367" s="43" t="str">
        <f aca="false">IF(OR(I367="",K367=""),"",I367-K367)</f>
        <v/>
      </c>
      <c r="M367" s="43" t="str">
        <f aca="false">IF(L367="","",L367-N367)</f>
        <v/>
      </c>
      <c r="N367" s="45" t="str">
        <f aca="false">IF(L367="","",ROUND(L367/6,2))</f>
        <v/>
      </c>
      <c r="O367" s="44" t="str">
        <f aca="false">IF(OR(K367="",K367=0),"",M367/K367)</f>
        <v/>
      </c>
      <c r="P367" s="42"/>
      <c r="Q367" s="42"/>
      <c r="R367" s="42"/>
      <c r="S367" s="42"/>
      <c r="T367" s="42"/>
      <c r="U367" s="42"/>
      <c r="V367" s="42"/>
      <c r="W367" s="42"/>
      <c r="X367" s="42"/>
    </row>
    <row r="368" customFormat="false" ht="21.75" hidden="false" customHeight="true" outlineLevel="0" collapsed="false">
      <c r="A368" s="37"/>
      <c r="B368" s="37"/>
      <c r="C368" s="37"/>
      <c r="D368" s="37"/>
      <c r="E368" s="37"/>
      <c r="F368" s="37"/>
      <c r="G368" s="37"/>
      <c r="H368" s="37"/>
      <c r="I368" s="37"/>
      <c r="J368" s="38" t="str">
        <f aca="false">IF(I368="","",ROUND(I368/1.2,2))</f>
        <v/>
      </c>
      <c r="K368" s="37"/>
      <c r="L368" s="38" t="str">
        <f aca="false">IF(OR(I368="",K368=""),"",I368-K368)</f>
        <v/>
      </c>
      <c r="M368" s="38" t="str">
        <f aca="false">IF(L368="","",L368-N368)</f>
        <v/>
      </c>
      <c r="N368" s="40" t="str">
        <f aca="false">IF(L368="","",ROUND(L368/6,2))</f>
        <v/>
      </c>
      <c r="O368" s="39" t="str">
        <f aca="false">IF(OR(K368="",K368=0),"",M368/K368)</f>
        <v/>
      </c>
      <c r="P368" s="37"/>
      <c r="Q368" s="37"/>
      <c r="R368" s="37"/>
      <c r="S368" s="37"/>
      <c r="T368" s="37"/>
      <c r="U368" s="37"/>
      <c r="V368" s="37"/>
      <c r="W368" s="37"/>
      <c r="X368" s="37"/>
    </row>
    <row r="369" customFormat="false" ht="21.75" hidden="false" customHeight="true" outlineLevel="0" collapsed="false">
      <c r="A369" s="42"/>
      <c r="B369" s="42"/>
      <c r="C369" s="42"/>
      <c r="D369" s="42"/>
      <c r="E369" s="42"/>
      <c r="F369" s="42"/>
      <c r="G369" s="42"/>
      <c r="H369" s="42"/>
      <c r="I369" s="42"/>
      <c r="J369" s="43" t="str">
        <f aca="false">IF(I369="","",ROUND(I369/1.2,2))</f>
        <v/>
      </c>
      <c r="K369" s="42"/>
      <c r="L369" s="43" t="str">
        <f aca="false">IF(OR(I369="",K369=""),"",I369-K369)</f>
        <v/>
      </c>
      <c r="M369" s="43" t="str">
        <f aca="false">IF(L369="","",L369-N369)</f>
        <v/>
      </c>
      <c r="N369" s="45" t="str">
        <f aca="false">IF(L369="","",ROUND(L369/6,2))</f>
        <v/>
      </c>
      <c r="O369" s="44" t="str">
        <f aca="false">IF(OR(K369="",K369=0),"",M369/K369)</f>
        <v/>
      </c>
      <c r="P369" s="42"/>
      <c r="Q369" s="42"/>
      <c r="R369" s="42"/>
      <c r="S369" s="42"/>
      <c r="T369" s="42"/>
      <c r="U369" s="42"/>
      <c r="V369" s="42"/>
      <c r="W369" s="42"/>
      <c r="X369" s="42"/>
    </row>
    <row r="370" customFormat="false" ht="21.75" hidden="false" customHeight="true" outlineLevel="0" collapsed="false">
      <c r="A370" s="37"/>
      <c r="B370" s="37"/>
      <c r="C370" s="37"/>
      <c r="D370" s="37"/>
      <c r="E370" s="37"/>
      <c r="F370" s="37"/>
      <c r="G370" s="37"/>
      <c r="H370" s="37"/>
      <c r="I370" s="37"/>
      <c r="J370" s="38" t="str">
        <f aca="false">IF(I370="","",ROUND(I370/1.2,2))</f>
        <v/>
      </c>
      <c r="K370" s="37"/>
      <c r="L370" s="38" t="str">
        <f aca="false">IF(OR(I370="",K370=""),"",I370-K370)</f>
        <v/>
      </c>
      <c r="M370" s="38" t="str">
        <f aca="false">IF(L370="","",L370-N370)</f>
        <v/>
      </c>
      <c r="N370" s="40" t="str">
        <f aca="false">IF(L370="","",ROUND(L370/6,2))</f>
        <v/>
      </c>
      <c r="O370" s="39" t="str">
        <f aca="false">IF(OR(K370="",K370=0),"",M370/K370)</f>
        <v/>
      </c>
      <c r="P370" s="37"/>
      <c r="Q370" s="37"/>
      <c r="R370" s="37"/>
      <c r="S370" s="37"/>
      <c r="T370" s="37"/>
      <c r="U370" s="37"/>
      <c r="V370" s="37"/>
      <c r="W370" s="37"/>
      <c r="X370" s="37"/>
    </row>
    <row r="371" customFormat="false" ht="21.75" hidden="false" customHeight="true" outlineLevel="0" collapsed="false">
      <c r="A371" s="42"/>
      <c r="B371" s="42"/>
      <c r="C371" s="42"/>
      <c r="D371" s="42"/>
      <c r="E371" s="42"/>
      <c r="F371" s="42"/>
      <c r="G371" s="42"/>
      <c r="H371" s="42"/>
      <c r="I371" s="42"/>
      <c r="J371" s="43" t="str">
        <f aca="false">IF(I371="","",ROUND(I371/1.2,2))</f>
        <v/>
      </c>
      <c r="K371" s="42"/>
      <c r="L371" s="43" t="str">
        <f aca="false">IF(OR(I371="",K371=""),"",I371-K371)</f>
        <v/>
      </c>
      <c r="M371" s="43" t="str">
        <f aca="false">IF(L371="","",L371-N371)</f>
        <v/>
      </c>
      <c r="N371" s="45" t="str">
        <f aca="false">IF(L371="","",ROUND(L371/6,2))</f>
        <v/>
      </c>
      <c r="O371" s="44" t="str">
        <f aca="false">IF(OR(K371="",K371=0),"",M371/K371)</f>
        <v/>
      </c>
      <c r="P371" s="42"/>
      <c r="Q371" s="42"/>
      <c r="R371" s="42"/>
      <c r="S371" s="42"/>
      <c r="T371" s="42"/>
      <c r="U371" s="42"/>
      <c r="V371" s="42"/>
      <c r="W371" s="42"/>
      <c r="X371" s="42"/>
    </row>
    <row r="372" customFormat="false" ht="21.75" hidden="false" customHeight="true" outlineLevel="0" collapsed="false">
      <c r="A372" s="37"/>
      <c r="B372" s="37"/>
      <c r="C372" s="37"/>
      <c r="D372" s="37"/>
      <c r="E372" s="37"/>
      <c r="F372" s="37"/>
      <c r="G372" s="37"/>
      <c r="H372" s="37"/>
      <c r="I372" s="37"/>
      <c r="J372" s="38" t="str">
        <f aca="false">IF(I372="","",ROUND(I372/1.2,2))</f>
        <v/>
      </c>
      <c r="K372" s="37"/>
      <c r="L372" s="38" t="str">
        <f aca="false">IF(OR(I372="",K372=""),"",I372-K372)</f>
        <v/>
      </c>
      <c r="M372" s="38" t="str">
        <f aca="false">IF(L372="","",L372-N372)</f>
        <v/>
      </c>
      <c r="N372" s="40" t="str">
        <f aca="false">IF(L372="","",ROUND(L372/6,2))</f>
        <v/>
      </c>
      <c r="O372" s="39" t="str">
        <f aca="false">IF(OR(K372="",K372=0),"",M372/K372)</f>
        <v/>
      </c>
      <c r="P372" s="37"/>
      <c r="Q372" s="37"/>
      <c r="R372" s="37"/>
      <c r="S372" s="37"/>
      <c r="T372" s="37"/>
      <c r="U372" s="37"/>
      <c r="V372" s="37"/>
      <c r="W372" s="37"/>
      <c r="X372" s="37"/>
    </row>
    <row r="373" customFormat="false" ht="21.75" hidden="false" customHeight="true" outlineLevel="0" collapsed="false">
      <c r="A373" s="42"/>
      <c r="B373" s="42"/>
      <c r="C373" s="42"/>
      <c r="D373" s="42"/>
      <c r="E373" s="42"/>
      <c r="F373" s="42"/>
      <c r="G373" s="42"/>
      <c r="H373" s="42"/>
      <c r="I373" s="42"/>
      <c r="J373" s="43" t="str">
        <f aca="false">IF(I373="","",ROUND(I373/1.2,2))</f>
        <v/>
      </c>
      <c r="K373" s="42"/>
      <c r="L373" s="43" t="str">
        <f aca="false">IF(OR(I373="",K373=""),"",I373-K373)</f>
        <v/>
      </c>
      <c r="M373" s="43" t="str">
        <f aca="false">IF(L373="","",L373-N373)</f>
        <v/>
      </c>
      <c r="N373" s="45" t="str">
        <f aca="false">IF(L373="","",ROUND(L373/6,2))</f>
        <v/>
      </c>
      <c r="O373" s="44" t="str">
        <f aca="false">IF(OR(K373="",K373=0),"",M373/K373)</f>
        <v/>
      </c>
      <c r="P373" s="42"/>
      <c r="Q373" s="42"/>
      <c r="R373" s="42"/>
      <c r="S373" s="42"/>
      <c r="T373" s="42"/>
      <c r="U373" s="42"/>
      <c r="V373" s="42"/>
      <c r="W373" s="42"/>
      <c r="X373" s="42"/>
    </row>
    <row r="374" customFormat="false" ht="21.75" hidden="false" customHeight="true" outlineLevel="0" collapsed="false">
      <c r="A374" s="37"/>
      <c r="B374" s="37"/>
      <c r="C374" s="37"/>
      <c r="D374" s="37"/>
      <c r="E374" s="37"/>
      <c r="F374" s="37"/>
      <c r="G374" s="37"/>
      <c r="H374" s="37"/>
      <c r="I374" s="37"/>
      <c r="J374" s="38" t="str">
        <f aca="false">IF(I374="","",ROUND(I374/1.2,2))</f>
        <v/>
      </c>
      <c r="K374" s="37"/>
      <c r="L374" s="38" t="str">
        <f aca="false">IF(OR(I374="",K374=""),"",I374-K374)</f>
        <v/>
      </c>
      <c r="M374" s="38" t="str">
        <f aca="false">IF(L374="","",L374-N374)</f>
        <v/>
      </c>
      <c r="N374" s="40" t="str">
        <f aca="false">IF(L374="","",ROUND(L374/6,2))</f>
        <v/>
      </c>
      <c r="O374" s="39" t="str">
        <f aca="false">IF(OR(K374="",K374=0),"",M374/K374)</f>
        <v/>
      </c>
      <c r="P374" s="37"/>
      <c r="Q374" s="37"/>
      <c r="R374" s="37"/>
      <c r="S374" s="37"/>
      <c r="T374" s="37"/>
      <c r="U374" s="37"/>
      <c r="V374" s="37"/>
      <c r="W374" s="37"/>
      <c r="X374" s="37"/>
    </row>
    <row r="375" customFormat="false" ht="21.75" hidden="false" customHeight="true" outlineLevel="0" collapsed="false">
      <c r="A375" s="42"/>
      <c r="B375" s="42"/>
      <c r="C375" s="42"/>
      <c r="D375" s="42"/>
      <c r="E375" s="42"/>
      <c r="F375" s="42"/>
      <c r="G375" s="42"/>
      <c r="H375" s="42"/>
      <c r="I375" s="42"/>
      <c r="J375" s="43" t="str">
        <f aca="false">IF(I375="","",ROUND(I375/1.2,2))</f>
        <v/>
      </c>
      <c r="K375" s="42"/>
      <c r="L375" s="43" t="str">
        <f aca="false">IF(OR(I375="",K375=""),"",I375-K375)</f>
        <v/>
      </c>
      <c r="M375" s="43" t="str">
        <f aca="false">IF(L375="","",L375-N375)</f>
        <v/>
      </c>
      <c r="N375" s="45" t="str">
        <f aca="false">IF(L375="","",ROUND(L375/6,2))</f>
        <v/>
      </c>
      <c r="O375" s="44" t="str">
        <f aca="false">IF(OR(K375="",K375=0),"",M375/K375)</f>
        <v/>
      </c>
      <c r="P375" s="42"/>
      <c r="Q375" s="42"/>
      <c r="R375" s="42"/>
      <c r="S375" s="42"/>
      <c r="T375" s="42"/>
      <c r="U375" s="42"/>
      <c r="V375" s="42"/>
      <c r="W375" s="42"/>
      <c r="X375" s="42"/>
    </row>
    <row r="376" customFormat="false" ht="21.75" hidden="false" customHeight="true" outlineLevel="0" collapsed="false">
      <c r="A376" s="37"/>
      <c r="B376" s="37"/>
      <c r="C376" s="37"/>
      <c r="D376" s="37"/>
      <c r="E376" s="37"/>
      <c r="F376" s="37"/>
      <c r="G376" s="37"/>
      <c r="H376" s="37"/>
      <c r="I376" s="37"/>
      <c r="J376" s="38" t="str">
        <f aca="false">IF(I376="","",ROUND(I376/1.2,2))</f>
        <v/>
      </c>
      <c r="K376" s="37"/>
      <c r="L376" s="38" t="str">
        <f aca="false">IF(OR(I376="",K376=""),"",I376-K376)</f>
        <v/>
      </c>
      <c r="M376" s="38" t="str">
        <f aca="false">IF(L376="","",L376-N376)</f>
        <v/>
      </c>
      <c r="N376" s="40" t="str">
        <f aca="false">IF(L376="","",ROUND(L376/6,2))</f>
        <v/>
      </c>
      <c r="O376" s="39" t="str">
        <f aca="false">IF(OR(K376="",K376=0),"",M376/K376)</f>
        <v/>
      </c>
      <c r="P376" s="37"/>
      <c r="Q376" s="37"/>
      <c r="R376" s="37"/>
      <c r="S376" s="37"/>
      <c r="T376" s="37"/>
      <c r="U376" s="37"/>
      <c r="V376" s="37"/>
      <c r="W376" s="37"/>
      <c r="X376" s="37"/>
    </row>
    <row r="377" customFormat="false" ht="21.75" hidden="false" customHeight="true" outlineLevel="0" collapsed="false">
      <c r="A377" s="42"/>
      <c r="B377" s="42"/>
      <c r="C377" s="42"/>
      <c r="D377" s="42"/>
      <c r="E377" s="42"/>
      <c r="F377" s="42"/>
      <c r="G377" s="42"/>
      <c r="H377" s="42"/>
      <c r="I377" s="42"/>
      <c r="J377" s="43" t="str">
        <f aca="false">IF(I377="","",ROUND(I377/1.2,2))</f>
        <v/>
      </c>
      <c r="K377" s="42"/>
      <c r="L377" s="43" t="str">
        <f aca="false">IF(OR(I377="",K377=""),"",I377-K377)</f>
        <v/>
      </c>
      <c r="M377" s="43" t="str">
        <f aca="false">IF(L377="","",L377-N377)</f>
        <v/>
      </c>
      <c r="N377" s="45" t="str">
        <f aca="false">IF(L377="","",ROUND(L377/6,2))</f>
        <v/>
      </c>
      <c r="O377" s="44" t="str">
        <f aca="false">IF(OR(K377="",K377=0),"",M377/K377)</f>
        <v/>
      </c>
      <c r="P377" s="42"/>
      <c r="Q377" s="42"/>
      <c r="R377" s="42"/>
      <c r="S377" s="42"/>
      <c r="T377" s="42"/>
      <c r="U377" s="42"/>
      <c r="V377" s="42"/>
      <c r="W377" s="42"/>
      <c r="X377" s="42"/>
    </row>
    <row r="378" customFormat="false" ht="21.75" hidden="false" customHeight="true" outlineLevel="0" collapsed="false">
      <c r="A378" s="37"/>
      <c r="B378" s="37"/>
      <c r="C378" s="37"/>
      <c r="D378" s="37"/>
      <c r="E378" s="37"/>
      <c r="F378" s="37"/>
      <c r="G378" s="37"/>
      <c r="H378" s="37"/>
      <c r="I378" s="37"/>
      <c r="J378" s="38" t="str">
        <f aca="false">IF(I378="","",ROUND(I378/1.2,2))</f>
        <v/>
      </c>
      <c r="K378" s="37"/>
      <c r="L378" s="38" t="str">
        <f aca="false">IF(OR(I378="",K378=""),"",I378-K378)</f>
        <v/>
      </c>
      <c r="M378" s="38" t="str">
        <f aca="false">IF(L378="","",L378-N378)</f>
        <v/>
      </c>
      <c r="N378" s="40" t="str">
        <f aca="false">IF(L378="","",ROUND(L378/6,2))</f>
        <v/>
      </c>
      <c r="O378" s="39" t="str">
        <f aca="false">IF(OR(K378="",K378=0),"",M378/K378)</f>
        <v/>
      </c>
      <c r="P378" s="37"/>
      <c r="Q378" s="37"/>
      <c r="R378" s="37"/>
      <c r="S378" s="37"/>
      <c r="T378" s="37"/>
      <c r="U378" s="37"/>
      <c r="V378" s="37"/>
      <c r="W378" s="37"/>
      <c r="X378" s="37"/>
    </row>
    <row r="379" customFormat="false" ht="21.75" hidden="false" customHeight="true" outlineLevel="0" collapsed="false">
      <c r="A379" s="42"/>
      <c r="B379" s="42"/>
      <c r="C379" s="42"/>
      <c r="D379" s="42"/>
      <c r="E379" s="42"/>
      <c r="F379" s="42"/>
      <c r="G379" s="42"/>
      <c r="H379" s="42"/>
      <c r="I379" s="42"/>
      <c r="J379" s="43" t="str">
        <f aca="false">IF(I379="","",ROUND(I379/1.2,2))</f>
        <v/>
      </c>
      <c r="K379" s="42"/>
      <c r="L379" s="43" t="str">
        <f aca="false">IF(OR(I379="",K379=""),"",I379-K379)</f>
        <v/>
      </c>
      <c r="M379" s="43" t="str">
        <f aca="false">IF(L379="","",L379-N379)</f>
        <v/>
      </c>
      <c r="N379" s="45" t="str">
        <f aca="false">IF(L379="","",ROUND(L379/6,2))</f>
        <v/>
      </c>
      <c r="O379" s="44" t="str">
        <f aca="false">IF(OR(K379="",K379=0),"",M379/K379)</f>
        <v/>
      </c>
      <c r="P379" s="42"/>
      <c r="Q379" s="42"/>
      <c r="R379" s="42"/>
      <c r="S379" s="42"/>
      <c r="T379" s="42"/>
      <c r="U379" s="42"/>
      <c r="V379" s="42"/>
      <c r="W379" s="42"/>
      <c r="X379" s="42"/>
    </row>
    <row r="380" customFormat="false" ht="21.75" hidden="false" customHeight="true" outlineLevel="0" collapsed="false">
      <c r="A380" s="37"/>
      <c r="B380" s="37"/>
      <c r="C380" s="37"/>
      <c r="D380" s="37"/>
      <c r="E380" s="37"/>
      <c r="F380" s="37"/>
      <c r="G380" s="37"/>
      <c r="H380" s="37"/>
      <c r="I380" s="37"/>
      <c r="J380" s="38" t="str">
        <f aca="false">IF(I380="","",ROUND(I380/1.2,2))</f>
        <v/>
      </c>
      <c r="K380" s="37"/>
      <c r="L380" s="38" t="str">
        <f aca="false">IF(OR(I380="",K380=""),"",I380-K380)</f>
        <v/>
      </c>
      <c r="M380" s="38" t="str">
        <f aca="false">IF(L380="","",L380-N380)</f>
        <v/>
      </c>
      <c r="N380" s="40" t="str">
        <f aca="false">IF(L380="","",ROUND(L380/6,2))</f>
        <v/>
      </c>
      <c r="O380" s="39" t="str">
        <f aca="false">IF(OR(K380="",K380=0),"",M380/K380)</f>
        <v/>
      </c>
      <c r="P380" s="37"/>
      <c r="Q380" s="37"/>
      <c r="R380" s="37"/>
      <c r="S380" s="37"/>
      <c r="T380" s="37"/>
      <c r="U380" s="37"/>
      <c r="V380" s="37"/>
      <c r="W380" s="37"/>
      <c r="X380" s="37"/>
    </row>
    <row r="381" customFormat="false" ht="21.75" hidden="false" customHeight="true" outlineLevel="0" collapsed="false">
      <c r="A381" s="42"/>
      <c r="B381" s="42"/>
      <c r="C381" s="42"/>
      <c r="D381" s="42"/>
      <c r="E381" s="42"/>
      <c r="F381" s="42"/>
      <c r="G381" s="42"/>
      <c r="H381" s="42"/>
      <c r="I381" s="42"/>
      <c r="J381" s="43" t="str">
        <f aca="false">IF(I381="","",ROUND(I381/1.2,2))</f>
        <v/>
      </c>
      <c r="K381" s="42"/>
      <c r="L381" s="43" t="str">
        <f aca="false">IF(OR(I381="",K381=""),"",I381-K381)</f>
        <v/>
      </c>
      <c r="M381" s="43" t="str">
        <f aca="false">IF(L381="","",L381-N381)</f>
        <v/>
      </c>
      <c r="N381" s="45" t="str">
        <f aca="false">IF(L381="","",ROUND(L381/6,2))</f>
        <v/>
      </c>
      <c r="O381" s="44" t="str">
        <f aca="false">IF(OR(K381="",K381=0),"",M381/K381)</f>
        <v/>
      </c>
      <c r="P381" s="42"/>
      <c r="Q381" s="42"/>
      <c r="R381" s="42"/>
      <c r="S381" s="42"/>
      <c r="T381" s="42"/>
      <c r="U381" s="42"/>
      <c r="V381" s="42"/>
      <c r="W381" s="42"/>
      <c r="X381" s="42"/>
    </row>
    <row r="382" customFormat="false" ht="21.75" hidden="false" customHeight="true" outlineLevel="0" collapsed="false">
      <c r="A382" s="37"/>
      <c r="B382" s="37"/>
      <c r="C382" s="37"/>
      <c r="D382" s="37"/>
      <c r="E382" s="37"/>
      <c r="F382" s="37"/>
      <c r="G382" s="37"/>
      <c r="H382" s="37"/>
      <c r="I382" s="37"/>
      <c r="J382" s="38" t="str">
        <f aca="false">IF(I382="","",ROUND(I382/1.2,2))</f>
        <v/>
      </c>
      <c r="K382" s="37"/>
      <c r="L382" s="38" t="str">
        <f aca="false">IF(OR(I382="",K382=""),"",I382-K382)</f>
        <v/>
      </c>
      <c r="M382" s="38" t="str">
        <f aca="false">IF(L382="","",L382-N382)</f>
        <v/>
      </c>
      <c r="N382" s="40" t="str">
        <f aca="false">IF(L382="","",ROUND(L382/6,2))</f>
        <v/>
      </c>
      <c r="O382" s="39" t="str">
        <f aca="false">IF(OR(K382="",K382=0),"",M382/K382)</f>
        <v/>
      </c>
      <c r="P382" s="37"/>
      <c r="Q382" s="37"/>
      <c r="R382" s="37"/>
      <c r="S382" s="37"/>
      <c r="T382" s="37"/>
      <c r="U382" s="37"/>
      <c r="V382" s="37"/>
      <c r="W382" s="37"/>
      <c r="X382" s="37"/>
    </row>
    <row r="383" customFormat="false" ht="21.75" hidden="false" customHeight="true" outlineLevel="0" collapsed="false">
      <c r="A383" s="42"/>
      <c r="B383" s="42"/>
      <c r="C383" s="42"/>
      <c r="D383" s="42"/>
      <c r="E383" s="42"/>
      <c r="F383" s="42"/>
      <c r="G383" s="42"/>
      <c r="H383" s="42"/>
      <c r="I383" s="42"/>
      <c r="J383" s="43" t="str">
        <f aca="false">IF(I383="","",ROUND(I383/1.2,2))</f>
        <v/>
      </c>
      <c r="K383" s="42"/>
      <c r="L383" s="43" t="str">
        <f aca="false">IF(OR(I383="",K383=""),"",I383-K383)</f>
        <v/>
      </c>
      <c r="M383" s="43" t="str">
        <f aca="false">IF(L383="","",L383-N383)</f>
        <v/>
      </c>
      <c r="N383" s="45" t="str">
        <f aca="false">IF(L383="","",ROUND(L383/6,2))</f>
        <v/>
      </c>
      <c r="O383" s="44" t="str">
        <f aca="false">IF(OR(K383="",K383=0),"",M383/K383)</f>
        <v/>
      </c>
      <c r="P383" s="42"/>
      <c r="Q383" s="42"/>
      <c r="R383" s="42"/>
      <c r="S383" s="42"/>
      <c r="T383" s="42"/>
      <c r="U383" s="42"/>
      <c r="V383" s="42"/>
      <c r="W383" s="42"/>
      <c r="X383" s="42"/>
    </row>
    <row r="384" customFormat="false" ht="21.75" hidden="false" customHeight="true" outlineLevel="0" collapsed="false">
      <c r="A384" s="37"/>
      <c r="B384" s="37"/>
      <c r="C384" s="37"/>
      <c r="D384" s="37"/>
      <c r="E384" s="37"/>
      <c r="F384" s="37"/>
      <c r="G384" s="37"/>
      <c r="H384" s="37"/>
      <c r="I384" s="37"/>
      <c r="J384" s="38" t="str">
        <f aca="false">IF(I384="","",ROUND(I384/1.2,2))</f>
        <v/>
      </c>
      <c r="K384" s="37"/>
      <c r="L384" s="38" t="str">
        <f aca="false">IF(OR(I384="",K384=""),"",I384-K384)</f>
        <v/>
      </c>
      <c r="M384" s="38" t="str">
        <f aca="false">IF(L384="","",L384-N384)</f>
        <v/>
      </c>
      <c r="N384" s="40" t="str">
        <f aca="false">IF(L384="","",ROUND(L384/6,2))</f>
        <v/>
      </c>
      <c r="O384" s="39" t="str">
        <f aca="false">IF(OR(K384="",K384=0),"",M384/K384)</f>
        <v/>
      </c>
      <c r="P384" s="37"/>
      <c r="Q384" s="37"/>
      <c r="R384" s="37"/>
      <c r="S384" s="37"/>
      <c r="T384" s="37"/>
      <c r="U384" s="37"/>
      <c r="V384" s="37"/>
      <c r="W384" s="37"/>
      <c r="X384" s="37"/>
    </row>
    <row r="385" customFormat="false" ht="21.75" hidden="false" customHeight="true" outlineLevel="0" collapsed="false">
      <c r="A385" s="42"/>
      <c r="B385" s="42"/>
      <c r="C385" s="42"/>
      <c r="D385" s="42"/>
      <c r="E385" s="42"/>
      <c r="F385" s="42"/>
      <c r="G385" s="42"/>
      <c r="H385" s="42"/>
      <c r="I385" s="42"/>
      <c r="J385" s="43" t="str">
        <f aca="false">IF(I385="","",ROUND(I385/1.2,2))</f>
        <v/>
      </c>
      <c r="K385" s="42"/>
      <c r="L385" s="43" t="str">
        <f aca="false">IF(OR(I385="",K385=""),"",I385-K385)</f>
        <v/>
      </c>
      <c r="M385" s="43" t="str">
        <f aca="false">IF(L385="","",L385-N385)</f>
        <v/>
      </c>
      <c r="N385" s="45" t="str">
        <f aca="false">IF(L385="","",ROUND(L385/6,2))</f>
        <v/>
      </c>
      <c r="O385" s="44" t="str">
        <f aca="false">IF(OR(K385="",K385=0),"",M385/K385)</f>
        <v/>
      </c>
      <c r="P385" s="42"/>
      <c r="Q385" s="42"/>
      <c r="R385" s="42"/>
      <c r="S385" s="42"/>
      <c r="T385" s="42"/>
      <c r="U385" s="42"/>
      <c r="V385" s="42"/>
      <c r="W385" s="42"/>
      <c r="X385" s="42"/>
    </row>
    <row r="386" customFormat="false" ht="21.75" hidden="false" customHeight="true" outlineLevel="0" collapsed="false">
      <c r="A386" s="37"/>
      <c r="B386" s="37"/>
      <c r="C386" s="37"/>
      <c r="D386" s="37"/>
      <c r="E386" s="37"/>
      <c r="F386" s="37"/>
      <c r="G386" s="37"/>
      <c r="H386" s="37"/>
      <c r="I386" s="37"/>
      <c r="J386" s="38" t="str">
        <f aca="false">IF(I386="","",ROUND(I386/1.2,2))</f>
        <v/>
      </c>
      <c r="K386" s="37"/>
      <c r="L386" s="38" t="str">
        <f aca="false">IF(OR(I386="",K386=""),"",I386-K386)</f>
        <v/>
      </c>
      <c r="M386" s="38" t="str">
        <f aca="false">IF(L386="","",L386-N386)</f>
        <v/>
      </c>
      <c r="N386" s="40" t="str">
        <f aca="false">IF(L386="","",ROUND(L386/6,2))</f>
        <v/>
      </c>
      <c r="O386" s="39" t="str">
        <f aca="false">IF(OR(K386="",K386=0),"",M386/K386)</f>
        <v/>
      </c>
      <c r="P386" s="37"/>
      <c r="Q386" s="37"/>
      <c r="R386" s="37"/>
      <c r="S386" s="37"/>
      <c r="T386" s="37"/>
      <c r="U386" s="37"/>
      <c r="V386" s="37"/>
      <c r="W386" s="37"/>
      <c r="X386" s="37"/>
    </row>
    <row r="387" customFormat="false" ht="21.75" hidden="false" customHeight="true" outlineLevel="0" collapsed="false">
      <c r="A387" s="42"/>
      <c r="B387" s="42"/>
      <c r="C387" s="42"/>
      <c r="D387" s="42"/>
      <c r="E387" s="42"/>
      <c r="F387" s="42"/>
      <c r="G387" s="42"/>
      <c r="H387" s="42"/>
      <c r="I387" s="42"/>
      <c r="J387" s="43" t="str">
        <f aca="false">IF(I387="","",ROUND(I387/1.2,2))</f>
        <v/>
      </c>
      <c r="K387" s="42"/>
      <c r="L387" s="43" t="str">
        <f aca="false">IF(OR(I387="",K387=""),"",I387-K387)</f>
        <v/>
      </c>
      <c r="M387" s="43" t="str">
        <f aca="false">IF(L387="","",L387-N387)</f>
        <v/>
      </c>
      <c r="N387" s="45" t="str">
        <f aca="false">IF(L387="","",ROUND(L387/6,2))</f>
        <v/>
      </c>
      <c r="O387" s="44" t="str">
        <f aca="false">IF(OR(K387="",K387=0),"",M387/K387)</f>
        <v/>
      </c>
      <c r="P387" s="42"/>
      <c r="Q387" s="42"/>
      <c r="R387" s="42"/>
      <c r="S387" s="42"/>
      <c r="T387" s="42"/>
      <c r="U387" s="42"/>
      <c r="V387" s="42"/>
      <c r="W387" s="42"/>
      <c r="X387" s="42"/>
    </row>
    <row r="388" customFormat="false" ht="21.75" hidden="false" customHeight="true" outlineLevel="0" collapsed="false">
      <c r="A388" s="37"/>
      <c r="B388" s="37"/>
      <c r="C388" s="37"/>
      <c r="D388" s="37"/>
      <c r="E388" s="37"/>
      <c r="F388" s="37"/>
      <c r="G388" s="37"/>
      <c r="H388" s="37"/>
      <c r="I388" s="37"/>
      <c r="J388" s="38" t="str">
        <f aca="false">IF(I388="","",ROUND(I388/1.2,2))</f>
        <v/>
      </c>
      <c r="K388" s="37"/>
      <c r="L388" s="38" t="str">
        <f aca="false">IF(OR(I388="",K388=""),"",I388-K388)</f>
        <v/>
      </c>
      <c r="M388" s="38" t="str">
        <f aca="false">IF(L388="","",L388-N388)</f>
        <v/>
      </c>
      <c r="N388" s="40" t="str">
        <f aca="false">IF(L388="","",ROUND(L388/6,2))</f>
        <v/>
      </c>
      <c r="O388" s="39" t="str">
        <f aca="false">IF(OR(K388="",K388=0),"",M388/K388)</f>
        <v/>
      </c>
      <c r="P388" s="37"/>
      <c r="Q388" s="37"/>
      <c r="R388" s="37"/>
      <c r="S388" s="37"/>
      <c r="T388" s="37"/>
      <c r="U388" s="37"/>
      <c r="V388" s="37"/>
      <c r="W388" s="37"/>
      <c r="X388" s="37"/>
    </row>
    <row r="389" customFormat="false" ht="21.75" hidden="false" customHeight="true" outlineLevel="0" collapsed="false">
      <c r="A389" s="42"/>
      <c r="B389" s="42"/>
      <c r="C389" s="42"/>
      <c r="D389" s="42"/>
      <c r="E389" s="42"/>
      <c r="F389" s="42"/>
      <c r="G389" s="42"/>
      <c r="H389" s="42"/>
      <c r="I389" s="42"/>
      <c r="J389" s="43" t="str">
        <f aca="false">IF(I389="","",ROUND(I389/1.2,2))</f>
        <v/>
      </c>
      <c r="K389" s="42"/>
      <c r="L389" s="43" t="str">
        <f aca="false">IF(OR(I389="",K389=""),"",I389-K389)</f>
        <v/>
      </c>
      <c r="M389" s="43" t="str">
        <f aca="false">IF(L389="","",L389-N389)</f>
        <v/>
      </c>
      <c r="N389" s="45" t="str">
        <f aca="false">IF(L389="","",ROUND(L389/6,2))</f>
        <v/>
      </c>
      <c r="O389" s="44" t="str">
        <f aca="false">IF(OR(K389="",K389=0),"",M389/K389)</f>
        <v/>
      </c>
      <c r="P389" s="42"/>
      <c r="Q389" s="42"/>
      <c r="R389" s="42"/>
      <c r="S389" s="42"/>
      <c r="T389" s="42"/>
      <c r="U389" s="42"/>
      <c r="V389" s="42"/>
      <c r="W389" s="42"/>
      <c r="X389" s="42"/>
    </row>
    <row r="390" customFormat="false" ht="21.75" hidden="false" customHeight="true" outlineLevel="0" collapsed="false">
      <c r="A390" s="37"/>
      <c r="B390" s="37"/>
      <c r="C390" s="37"/>
      <c r="D390" s="37"/>
      <c r="E390" s="37"/>
      <c r="F390" s="37"/>
      <c r="G390" s="37"/>
      <c r="H390" s="37"/>
      <c r="I390" s="37"/>
      <c r="J390" s="38" t="str">
        <f aca="false">IF(I390="","",ROUND(I390/1.2,2))</f>
        <v/>
      </c>
      <c r="K390" s="37"/>
      <c r="L390" s="38" t="str">
        <f aca="false">IF(OR(I390="",K390=""),"",I390-K390)</f>
        <v/>
      </c>
      <c r="M390" s="38" t="str">
        <f aca="false">IF(L390="","",L390-N390)</f>
        <v/>
      </c>
      <c r="N390" s="40" t="str">
        <f aca="false">IF(L390="","",ROUND(L390/6,2))</f>
        <v/>
      </c>
      <c r="O390" s="39" t="str">
        <f aca="false">IF(OR(K390="",K390=0),"",M390/K390)</f>
        <v/>
      </c>
      <c r="P390" s="37"/>
      <c r="Q390" s="37"/>
      <c r="R390" s="37"/>
      <c r="S390" s="37"/>
      <c r="T390" s="37"/>
      <c r="U390" s="37"/>
      <c r="V390" s="37"/>
      <c r="W390" s="37"/>
      <c r="X390" s="37"/>
    </row>
    <row r="391" customFormat="false" ht="21.75" hidden="false" customHeight="true" outlineLevel="0" collapsed="false">
      <c r="A391" s="42"/>
      <c r="B391" s="42"/>
      <c r="C391" s="42"/>
      <c r="D391" s="42"/>
      <c r="E391" s="42"/>
      <c r="F391" s="42"/>
      <c r="G391" s="42"/>
      <c r="H391" s="42"/>
      <c r="I391" s="42"/>
      <c r="J391" s="43" t="str">
        <f aca="false">IF(I391="","",ROUND(I391/1.2,2))</f>
        <v/>
      </c>
      <c r="K391" s="42"/>
      <c r="L391" s="43" t="str">
        <f aca="false">IF(OR(I391="",K391=""),"",I391-K391)</f>
        <v/>
      </c>
      <c r="M391" s="43" t="str">
        <f aca="false">IF(L391="","",L391-N391)</f>
        <v/>
      </c>
      <c r="N391" s="45" t="str">
        <f aca="false">IF(L391="","",ROUND(L391/6,2))</f>
        <v/>
      </c>
      <c r="O391" s="44" t="str">
        <f aca="false">IF(OR(K391="",K391=0),"",M391/K391)</f>
        <v/>
      </c>
      <c r="P391" s="42"/>
      <c r="Q391" s="42"/>
      <c r="R391" s="42"/>
      <c r="S391" s="42"/>
      <c r="T391" s="42"/>
      <c r="U391" s="42"/>
      <c r="V391" s="42"/>
      <c r="W391" s="42"/>
      <c r="X391" s="42"/>
    </row>
    <row r="392" customFormat="false" ht="21.75" hidden="false" customHeight="true" outlineLevel="0" collapsed="false">
      <c r="A392" s="37"/>
      <c r="B392" s="37"/>
      <c r="C392" s="37"/>
      <c r="D392" s="37"/>
      <c r="E392" s="37"/>
      <c r="F392" s="37"/>
      <c r="G392" s="37"/>
      <c r="H392" s="37"/>
      <c r="I392" s="37"/>
      <c r="J392" s="38" t="str">
        <f aca="false">IF(I392="","",ROUND(I392/1.2,2))</f>
        <v/>
      </c>
      <c r="K392" s="37"/>
      <c r="L392" s="38" t="str">
        <f aca="false">IF(OR(I392="",K392=""),"",I392-K392)</f>
        <v/>
      </c>
      <c r="M392" s="38" t="str">
        <f aca="false">IF(L392="","",L392-N392)</f>
        <v/>
      </c>
      <c r="N392" s="40" t="str">
        <f aca="false">IF(L392="","",ROUND(L392/6,2))</f>
        <v/>
      </c>
      <c r="O392" s="39" t="str">
        <f aca="false">IF(OR(K392="",K392=0),"",M392/K392)</f>
        <v/>
      </c>
      <c r="P392" s="37"/>
      <c r="Q392" s="37"/>
      <c r="R392" s="37"/>
      <c r="S392" s="37"/>
      <c r="T392" s="37"/>
      <c r="U392" s="37"/>
      <c r="V392" s="37"/>
      <c r="W392" s="37"/>
      <c r="X392" s="37"/>
    </row>
    <row r="393" customFormat="false" ht="21.75" hidden="false" customHeight="true" outlineLevel="0" collapsed="false">
      <c r="A393" s="42"/>
      <c r="B393" s="42"/>
      <c r="C393" s="42"/>
      <c r="D393" s="42"/>
      <c r="E393" s="42"/>
      <c r="F393" s="42"/>
      <c r="G393" s="42"/>
      <c r="H393" s="42"/>
      <c r="I393" s="42"/>
      <c r="J393" s="43" t="str">
        <f aca="false">IF(I393="","",ROUND(I393/1.2,2))</f>
        <v/>
      </c>
      <c r="K393" s="42"/>
      <c r="L393" s="43" t="str">
        <f aca="false">IF(OR(I393="",K393=""),"",I393-K393)</f>
        <v/>
      </c>
      <c r="M393" s="43" t="str">
        <f aca="false">IF(L393="","",L393-N393)</f>
        <v/>
      </c>
      <c r="N393" s="45" t="str">
        <f aca="false">IF(L393="","",ROUND(L393/6,2))</f>
        <v/>
      </c>
      <c r="O393" s="44" t="str">
        <f aca="false">IF(OR(K393="",K393=0),"",M393/K393)</f>
        <v/>
      </c>
      <c r="P393" s="42"/>
      <c r="Q393" s="42"/>
      <c r="R393" s="42"/>
      <c r="S393" s="42"/>
      <c r="T393" s="42"/>
      <c r="U393" s="42"/>
      <c r="V393" s="42"/>
      <c r="W393" s="42"/>
      <c r="X393" s="42"/>
    </row>
    <row r="394" customFormat="false" ht="21.75" hidden="false" customHeight="true" outlineLevel="0" collapsed="false">
      <c r="A394" s="37"/>
      <c r="B394" s="37"/>
      <c r="C394" s="37"/>
      <c r="D394" s="37"/>
      <c r="E394" s="37"/>
      <c r="F394" s="37"/>
      <c r="G394" s="37"/>
      <c r="H394" s="37"/>
      <c r="I394" s="37"/>
      <c r="J394" s="38" t="str">
        <f aca="false">IF(I394="","",ROUND(I394/1.2,2))</f>
        <v/>
      </c>
      <c r="K394" s="37"/>
      <c r="L394" s="38" t="str">
        <f aca="false">IF(OR(I394="",K394=""),"",I394-K394)</f>
        <v/>
      </c>
      <c r="M394" s="38" t="str">
        <f aca="false">IF(L394="","",L394-N394)</f>
        <v/>
      </c>
      <c r="N394" s="40" t="str">
        <f aca="false">IF(L394="","",ROUND(L394/6,2))</f>
        <v/>
      </c>
      <c r="O394" s="39" t="str">
        <f aca="false">IF(OR(K394="",K394=0),"",M394/K394)</f>
        <v/>
      </c>
      <c r="P394" s="37"/>
      <c r="Q394" s="37"/>
      <c r="R394" s="37"/>
      <c r="S394" s="37"/>
      <c r="T394" s="37"/>
      <c r="U394" s="37"/>
      <c r="V394" s="37"/>
      <c r="W394" s="37"/>
      <c r="X394" s="37"/>
    </row>
    <row r="395" customFormat="false" ht="21.75" hidden="false" customHeight="true" outlineLevel="0" collapsed="false">
      <c r="A395" s="42"/>
      <c r="B395" s="42"/>
      <c r="C395" s="42"/>
      <c r="D395" s="42"/>
      <c r="E395" s="42"/>
      <c r="F395" s="42"/>
      <c r="G395" s="42"/>
      <c r="H395" s="42"/>
      <c r="I395" s="42"/>
      <c r="J395" s="43" t="str">
        <f aca="false">IF(I395="","",ROUND(I395/1.2,2))</f>
        <v/>
      </c>
      <c r="K395" s="42"/>
      <c r="L395" s="43" t="str">
        <f aca="false">IF(OR(I395="",K395=""),"",I395-K395)</f>
        <v/>
      </c>
      <c r="M395" s="43" t="str">
        <f aca="false">IF(L395="","",L395-N395)</f>
        <v/>
      </c>
      <c r="N395" s="45" t="str">
        <f aca="false">IF(L395="","",ROUND(L395/6,2))</f>
        <v/>
      </c>
      <c r="O395" s="44" t="str">
        <f aca="false">IF(OR(K395="",K395=0),"",M395/K395)</f>
        <v/>
      </c>
      <c r="P395" s="42"/>
      <c r="Q395" s="42"/>
      <c r="R395" s="42"/>
      <c r="S395" s="42"/>
      <c r="T395" s="42"/>
      <c r="U395" s="42"/>
      <c r="V395" s="42"/>
      <c r="W395" s="42"/>
      <c r="X395" s="42"/>
    </row>
    <row r="396" customFormat="false" ht="21.75" hidden="false" customHeight="true" outlineLevel="0" collapsed="false">
      <c r="A396" s="37"/>
      <c r="B396" s="37"/>
      <c r="C396" s="37"/>
      <c r="D396" s="37"/>
      <c r="E396" s="37"/>
      <c r="F396" s="37"/>
      <c r="G396" s="37"/>
      <c r="H396" s="37"/>
      <c r="I396" s="37"/>
      <c r="J396" s="38" t="str">
        <f aca="false">IF(I396="","",ROUND(I396/1.2,2))</f>
        <v/>
      </c>
      <c r="K396" s="37"/>
      <c r="L396" s="38" t="str">
        <f aca="false">IF(OR(I396="",K396=""),"",I396-K396)</f>
        <v/>
      </c>
      <c r="M396" s="38" t="str">
        <f aca="false">IF(L396="","",L396-N396)</f>
        <v/>
      </c>
      <c r="N396" s="40" t="str">
        <f aca="false">IF(L396="","",ROUND(L396/6,2))</f>
        <v/>
      </c>
      <c r="O396" s="39" t="str">
        <f aca="false">IF(OR(K396="",K396=0),"",M396/K396)</f>
        <v/>
      </c>
      <c r="P396" s="37"/>
      <c r="Q396" s="37"/>
      <c r="R396" s="37"/>
      <c r="S396" s="37"/>
      <c r="T396" s="37"/>
      <c r="U396" s="37"/>
      <c r="V396" s="37"/>
      <c r="W396" s="37"/>
      <c r="X396" s="37"/>
    </row>
    <row r="397" customFormat="false" ht="21.75" hidden="false" customHeight="true" outlineLevel="0" collapsed="false">
      <c r="A397" s="42"/>
      <c r="B397" s="42"/>
      <c r="C397" s="42"/>
      <c r="D397" s="42"/>
      <c r="E397" s="42"/>
      <c r="F397" s="42"/>
      <c r="G397" s="42"/>
      <c r="H397" s="42"/>
      <c r="I397" s="42"/>
      <c r="J397" s="43" t="str">
        <f aca="false">IF(I397="","",ROUND(I397/1.2,2))</f>
        <v/>
      </c>
      <c r="K397" s="42"/>
      <c r="L397" s="43" t="str">
        <f aca="false">IF(OR(I397="",K397=""),"",I397-K397)</f>
        <v/>
      </c>
      <c r="M397" s="43" t="str">
        <f aca="false">IF(L397="","",L397-N397)</f>
        <v/>
      </c>
      <c r="N397" s="45" t="str">
        <f aca="false">IF(L397="","",ROUND(L397/6,2))</f>
        <v/>
      </c>
      <c r="O397" s="44" t="str">
        <f aca="false">IF(OR(K397="",K397=0),"",M397/K397)</f>
        <v/>
      </c>
      <c r="P397" s="42"/>
      <c r="Q397" s="42"/>
      <c r="R397" s="42"/>
      <c r="S397" s="42"/>
      <c r="T397" s="42"/>
      <c r="U397" s="42"/>
      <c r="V397" s="42"/>
      <c r="W397" s="42"/>
      <c r="X397" s="42"/>
    </row>
    <row r="398" customFormat="false" ht="21.75" hidden="false" customHeight="true" outlineLevel="0" collapsed="false">
      <c r="A398" s="37"/>
      <c r="B398" s="37"/>
      <c r="C398" s="37"/>
      <c r="D398" s="37"/>
      <c r="E398" s="37"/>
      <c r="F398" s="37"/>
      <c r="G398" s="37"/>
      <c r="H398" s="37"/>
      <c r="I398" s="37"/>
      <c r="J398" s="38" t="str">
        <f aca="false">IF(I398="","",ROUND(I398/1.2,2))</f>
        <v/>
      </c>
      <c r="K398" s="37"/>
      <c r="L398" s="38" t="str">
        <f aca="false">IF(OR(I398="",K398=""),"",I398-K398)</f>
        <v/>
      </c>
      <c r="M398" s="38" t="str">
        <f aca="false">IF(L398="","",L398-N398)</f>
        <v/>
      </c>
      <c r="N398" s="40" t="str">
        <f aca="false">IF(L398="","",ROUND(L398/6,2))</f>
        <v/>
      </c>
      <c r="O398" s="39" t="str">
        <f aca="false">IF(OR(K398="",K398=0),"",M398/K398)</f>
        <v/>
      </c>
      <c r="P398" s="37"/>
      <c r="Q398" s="37"/>
      <c r="R398" s="37"/>
      <c r="S398" s="37"/>
      <c r="T398" s="37"/>
      <c r="U398" s="37"/>
      <c r="V398" s="37"/>
      <c r="W398" s="37"/>
      <c r="X398" s="37"/>
    </row>
    <row r="399" customFormat="false" ht="21.75" hidden="false" customHeight="true" outlineLevel="0" collapsed="false">
      <c r="A399" s="42"/>
      <c r="B399" s="42"/>
      <c r="C399" s="42"/>
      <c r="D399" s="42"/>
      <c r="E399" s="42"/>
      <c r="F399" s="42"/>
      <c r="G399" s="42"/>
      <c r="H399" s="42"/>
      <c r="I399" s="42"/>
      <c r="J399" s="43" t="str">
        <f aca="false">IF(I399="","",ROUND(I399/1.2,2))</f>
        <v/>
      </c>
      <c r="K399" s="42"/>
      <c r="L399" s="43" t="str">
        <f aca="false">IF(OR(I399="",K399=""),"",I399-K399)</f>
        <v/>
      </c>
      <c r="M399" s="43" t="str">
        <f aca="false">IF(L399="","",L399-N399)</f>
        <v/>
      </c>
      <c r="N399" s="45" t="str">
        <f aca="false">IF(L399="","",ROUND(L399/6,2))</f>
        <v/>
      </c>
      <c r="O399" s="44" t="str">
        <f aca="false">IF(OR(K399="",K399=0),"",M399/K399)</f>
        <v/>
      </c>
      <c r="P399" s="42"/>
      <c r="Q399" s="42"/>
      <c r="R399" s="42"/>
      <c r="S399" s="42"/>
      <c r="T399" s="42"/>
      <c r="U399" s="42"/>
      <c r="V399" s="42"/>
      <c r="W399" s="42"/>
      <c r="X399" s="42"/>
    </row>
    <row r="400" customFormat="false" ht="21.75" hidden="false" customHeight="true" outlineLevel="0" collapsed="false">
      <c r="A400" s="37"/>
      <c r="B400" s="37"/>
      <c r="C400" s="37"/>
      <c r="D400" s="37"/>
      <c r="E400" s="37"/>
      <c r="F400" s="37"/>
      <c r="G400" s="37"/>
      <c r="H400" s="37"/>
      <c r="I400" s="37"/>
      <c r="J400" s="38" t="str">
        <f aca="false">IF(I400="","",ROUND(I400/1.2,2))</f>
        <v/>
      </c>
      <c r="K400" s="37"/>
      <c r="L400" s="38" t="str">
        <f aca="false">IF(OR(I400="",K400=""),"",I400-K400)</f>
        <v/>
      </c>
      <c r="M400" s="38" t="str">
        <f aca="false">IF(L400="","",L400-N400)</f>
        <v/>
      </c>
      <c r="N400" s="40" t="str">
        <f aca="false">IF(L400="","",ROUND(L400/6,2))</f>
        <v/>
      </c>
      <c r="O400" s="39" t="str">
        <f aca="false">IF(OR(K400="",K400=0),"",M400/K400)</f>
        <v/>
      </c>
      <c r="P400" s="37"/>
      <c r="Q400" s="37"/>
      <c r="R400" s="37"/>
      <c r="S400" s="37"/>
      <c r="T400" s="37"/>
      <c r="U400" s="37"/>
      <c r="V400" s="37"/>
      <c r="W400" s="37"/>
      <c r="X400" s="37"/>
    </row>
    <row r="401" customFormat="false" ht="21.75" hidden="false" customHeight="true" outlineLevel="0" collapsed="false">
      <c r="A401" s="42"/>
      <c r="B401" s="42"/>
      <c r="C401" s="42"/>
      <c r="D401" s="42"/>
      <c r="E401" s="42"/>
      <c r="F401" s="42"/>
      <c r="G401" s="42"/>
      <c r="H401" s="42"/>
      <c r="I401" s="42"/>
      <c r="J401" s="43" t="str">
        <f aca="false">IF(I401="","",ROUND(I401/1.2,2))</f>
        <v/>
      </c>
      <c r="K401" s="42"/>
      <c r="L401" s="43" t="str">
        <f aca="false">IF(OR(I401="",K401=""),"",I401-K401)</f>
        <v/>
      </c>
      <c r="M401" s="43" t="str">
        <f aca="false">IF(L401="","",L401-N401)</f>
        <v/>
      </c>
      <c r="N401" s="45" t="str">
        <f aca="false">IF(L401="","",ROUND(L401/6,2))</f>
        <v/>
      </c>
      <c r="O401" s="44" t="str">
        <f aca="false">IF(OR(K401="",K401=0),"",M401/K401)</f>
        <v/>
      </c>
      <c r="P401" s="42"/>
      <c r="Q401" s="42"/>
      <c r="R401" s="42"/>
      <c r="S401" s="42"/>
      <c r="T401" s="42"/>
      <c r="U401" s="42"/>
      <c r="V401" s="42"/>
      <c r="W401" s="42"/>
      <c r="X401" s="42"/>
    </row>
    <row r="402" customFormat="false" ht="21.75" hidden="false" customHeight="true" outlineLevel="0" collapsed="false">
      <c r="A402" s="37"/>
      <c r="B402" s="37"/>
      <c r="C402" s="37"/>
      <c r="D402" s="37"/>
      <c r="E402" s="37"/>
      <c r="F402" s="37"/>
      <c r="G402" s="37"/>
      <c r="H402" s="37"/>
      <c r="I402" s="37"/>
      <c r="J402" s="38" t="str">
        <f aca="false">IF(I402="","",ROUND(I402/1.2,2))</f>
        <v/>
      </c>
      <c r="K402" s="37"/>
      <c r="L402" s="38" t="str">
        <f aca="false">IF(OR(I402="",K402=""),"",I402-K402)</f>
        <v/>
      </c>
      <c r="M402" s="38" t="str">
        <f aca="false">IF(L402="","",L402-N402)</f>
        <v/>
      </c>
      <c r="N402" s="40" t="str">
        <f aca="false">IF(L402="","",ROUND(L402/6,2))</f>
        <v/>
      </c>
      <c r="O402" s="39" t="str">
        <f aca="false">IF(OR(K402="",K402=0),"",M402/K402)</f>
        <v/>
      </c>
      <c r="P402" s="37"/>
      <c r="Q402" s="37"/>
      <c r="R402" s="37"/>
      <c r="S402" s="37"/>
      <c r="T402" s="37"/>
      <c r="U402" s="37"/>
      <c r="V402" s="37"/>
      <c r="W402" s="37"/>
      <c r="X402" s="37"/>
    </row>
    <row r="403" customFormat="false" ht="21.75" hidden="false" customHeight="true" outlineLevel="0" collapsed="false">
      <c r="A403" s="42"/>
      <c r="B403" s="42"/>
      <c r="C403" s="42"/>
      <c r="D403" s="42"/>
      <c r="E403" s="42"/>
      <c r="F403" s="42"/>
      <c r="G403" s="42"/>
      <c r="H403" s="42"/>
      <c r="I403" s="42"/>
      <c r="J403" s="43" t="str">
        <f aca="false">IF(I403="","",ROUND(I403/1.2,2))</f>
        <v/>
      </c>
      <c r="K403" s="42"/>
      <c r="L403" s="43" t="str">
        <f aca="false">IF(OR(I403="",K403=""),"",I403-K403)</f>
        <v/>
      </c>
      <c r="M403" s="43" t="str">
        <f aca="false">IF(L403="","",L403-N403)</f>
        <v/>
      </c>
      <c r="N403" s="45" t="str">
        <f aca="false">IF(L403="","",ROUND(L403/6,2))</f>
        <v/>
      </c>
      <c r="O403" s="44" t="str">
        <f aca="false">IF(OR(K403="",K403=0),"",M403/K403)</f>
        <v/>
      </c>
      <c r="P403" s="42"/>
      <c r="Q403" s="42"/>
      <c r="R403" s="42"/>
      <c r="S403" s="42"/>
      <c r="T403" s="42"/>
      <c r="U403" s="42"/>
      <c r="V403" s="42"/>
      <c r="W403" s="42"/>
      <c r="X403" s="42"/>
    </row>
    <row r="404" customFormat="false" ht="21.75" hidden="false" customHeight="true" outlineLevel="0" collapsed="false">
      <c r="A404" s="37"/>
      <c r="B404" s="37"/>
      <c r="C404" s="37"/>
      <c r="D404" s="37"/>
      <c r="E404" s="37"/>
      <c r="F404" s="37"/>
      <c r="G404" s="37"/>
      <c r="H404" s="37"/>
      <c r="I404" s="37"/>
      <c r="J404" s="38" t="str">
        <f aca="false">IF(I404="","",ROUND(I404/1.2,2))</f>
        <v/>
      </c>
      <c r="K404" s="37"/>
      <c r="L404" s="38" t="str">
        <f aca="false">IF(OR(I404="",K404=""),"",I404-K404)</f>
        <v/>
      </c>
      <c r="M404" s="38" t="str">
        <f aca="false">IF(L404="","",L404-N404)</f>
        <v/>
      </c>
      <c r="N404" s="40" t="str">
        <f aca="false">IF(L404="","",ROUND(L404/6,2))</f>
        <v/>
      </c>
      <c r="O404" s="39" t="str">
        <f aca="false">IF(OR(K404="",K404=0),"",M404/K404)</f>
        <v/>
      </c>
      <c r="P404" s="37"/>
      <c r="Q404" s="37"/>
      <c r="R404" s="37"/>
      <c r="S404" s="37"/>
      <c r="T404" s="37"/>
      <c r="U404" s="37"/>
      <c r="V404" s="37"/>
      <c r="W404" s="37"/>
      <c r="X404" s="37"/>
    </row>
    <row r="405" customFormat="false" ht="21.75" hidden="false" customHeight="true" outlineLevel="0" collapsed="false">
      <c r="A405" s="42"/>
      <c r="B405" s="42"/>
      <c r="C405" s="42"/>
      <c r="D405" s="42"/>
      <c r="E405" s="42"/>
      <c r="F405" s="42"/>
      <c r="G405" s="42"/>
      <c r="H405" s="42"/>
      <c r="I405" s="42"/>
      <c r="J405" s="43" t="str">
        <f aca="false">IF(I405="","",ROUND(I405/1.2,2))</f>
        <v/>
      </c>
      <c r="K405" s="42"/>
      <c r="L405" s="43" t="str">
        <f aca="false">IF(OR(I405="",K405=""),"",I405-K405)</f>
        <v/>
      </c>
      <c r="M405" s="43" t="str">
        <f aca="false">IF(L405="","",L405-N405)</f>
        <v/>
      </c>
      <c r="N405" s="45" t="str">
        <f aca="false">IF(L405="","",ROUND(L405/6,2))</f>
        <v/>
      </c>
      <c r="O405" s="44" t="str">
        <f aca="false">IF(OR(K405="",K405=0),"",M405/K405)</f>
        <v/>
      </c>
      <c r="P405" s="42"/>
      <c r="Q405" s="42"/>
      <c r="R405" s="42"/>
      <c r="S405" s="42"/>
      <c r="T405" s="42"/>
      <c r="U405" s="42"/>
      <c r="V405" s="42"/>
      <c r="W405" s="42"/>
      <c r="X405" s="42"/>
    </row>
    <row r="406" customFormat="false" ht="21.75" hidden="false" customHeight="true" outlineLevel="0" collapsed="false">
      <c r="A406" s="37"/>
      <c r="B406" s="37"/>
      <c r="C406" s="37"/>
      <c r="D406" s="37"/>
      <c r="E406" s="37"/>
      <c r="F406" s="37"/>
      <c r="G406" s="37"/>
      <c r="H406" s="37"/>
      <c r="I406" s="37"/>
      <c r="J406" s="38" t="str">
        <f aca="false">IF(I406="","",ROUND(I406/1.2,2))</f>
        <v/>
      </c>
      <c r="K406" s="37"/>
      <c r="L406" s="38" t="str">
        <f aca="false">IF(OR(I406="",K406=""),"",I406-K406)</f>
        <v/>
      </c>
      <c r="M406" s="38" t="str">
        <f aca="false">IF(L406="","",L406-N406)</f>
        <v/>
      </c>
      <c r="N406" s="40" t="str">
        <f aca="false">IF(L406="","",ROUND(L406/6,2))</f>
        <v/>
      </c>
      <c r="O406" s="39" t="str">
        <f aca="false">IF(OR(K406="",K406=0),"",M406/K406)</f>
        <v/>
      </c>
      <c r="P406" s="37"/>
      <c r="Q406" s="37"/>
      <c r="R406" s="37"/>
      <c r="S406" s="37"/>
      <c r="T406" s="37"/>
      <c r="U406" s="37"/>
      <c r="V406" s="37"/>
      <c r="W406" s="37"/>
      <c r="X406" s="37"/>
    </row>
    <row r="407" customFormat="false" ht="21.75" hidden="false" customHeight="true" outlineLevel="0" collapsed="false">
      <c r="A407" s="42"/>
      <c r="B407" s="42"/>
      <c r="C407" s="42"/>
      <c r="D407" s="42"/>
      <c r="E407" s="42"/>
      <c r="F407" s="42"/>
      <c r="G407" s="42"/>
      <c r="H407" s="42"/>
      <c r="I407" s="42"/>
      <c r="J407" s="43" t="str">
        <f aca="false">IF(I407="","",ROUND(I407/1.2,2))</f>
        <v/>
      </c>
      <c r="K407" s="42"/>
      <c r="L407" s="43" t="str">
        <f aca="false">IF(OR(I407="",K407=""),"",I407-K407)</f>
        <v/>
      </c>
      <c r="M407" s="43" t="str">
        <f aca="false">IF(L407="","",L407-N407)</f>
        <v/>
      </c>
      <c r="N407" s="45" t="str">
        <f aca="false">IF(L407="","",ROUND(L407/6,2))</f>
        <v/>
      </c>
      <c r="O407" s="44" t="str">
        <f aca="false">IF(OR(K407="",K407=0),"",M407/K407)</f>
        <v/>
      </c>
      <c r="P407" s="42"/>
      <c r="Q407" s="42"/>
      <c r="R407" s="42"/>
      <c r="S407" s="42"/>
      <c r="T407" s="42"/>
      <c r="U407" s="42"/>
      <c r="V407" s="42"/>
      <c r="W407" s="42"/>
      <c r="X407" s="42"/>
    </row>
    <row r="408" customFormat="false" ht="21.75" hidden="false" customHeight="true" outlineLevel="0" collapsed="false">
      <c r="A408" s="37"/>
      <c r="B408" s="37"/>
      <c r="C408" s="37"/>
      <c r="D408" s="37"/>
      <c r="E408" s="37"/>
      <c r="F408" s="37"/>
      <c r="G408" s="37"/>
      <c r="H408" s="37"/>
      <c r="I408" s="37"/>
      <c r="J408" s="38" t="str">
        <f aca="false">IF(I408="","",ROUND(I408/1.2,2))</f>
        <v/>
      </c>
      <c r="K408" s="37"/>
      <c r="L408" s="38" t="str">
        <f aca="false">IF(OR(I408="",K408=""),"",I408-K408)</f>
        <v/>
      </c>
      <c r="M408" s="38" t="str">
        <f aca="false">IF(L408="","",L408-N408)</f>
        <v/>
      </c>
      <c r="N408" s="40" t="str">
        <f aca="false">IF(L408="","",ROUND(L408/6,2))</f>
        <v/>
      </c>
      <c r="O408" s="39" t="str">
        <f aca="false">IF(OR(K408="",K408=0),"",M408/K408)</f>
        <v/>
      </c>
      <c r="P408" s="37"/>
      <c r="Q408" s="37"/>
      <c r="R408" s="37"/>
      <c r="S408" s="37"/>
      <c r="T408" s="37"/>
      <c r="U408" s="37"/>
      <c r="V408" s="37"/>
      <c r="W408" s="37"/>
      <c r="X408" s="37"/>
    </row>
    <row r="409" customFormat="false" ht="21.75" hidden="false" customHeight="true" outlineLevel="0" collapsed="false">
      <c r="A409" s="42"/>
      <c r="B409" s="42"/>
      <c r="C409" s="42"/>
      <c r="D409" s="42"/>
      <c r="E409" s="42"/>
      <c r="F409" s="42"/>
      <c r="G409" s="42"/>
      <c r="H409" s="42"/>
      <c r="I409" s="42"/>
      <c r="J409" s="43" t="str">
        <f aca="false">IF(I409="","",ROUND(I409/1.2,2))</f>
        <v/>
      </c>
      <c r="K409" s="42"/>
      <c r="L409" s="43" t="str">
        <f aca="false">IF(OR(I409="",K409=""),"",I409-K409)</f>
        <v/>
      </c>
      <c r="M409" s="43" t="str">
        <f aca="false">IF(L409="","",L409-N409)</f>
        <v/>
      </c>
      <c r="N409" s="45" t="str">
        <f aca="false">IF(L409="","",ROUND(L409/6,2))</f>
        <v/>
      </c>
      <c r="O409" s="44" t="str">
        <f aca="false">IF(OR(K409="",K409=0),"",M409/K409)</f>
        <v/>
      </c>
      <c r="P409" s="42"/>
      <c r="Q409" s="42"/>
      <c r="R409" s="42"/>
      <c r="S409" s="42"/>
      <c r="T409" s="42"/>
      <c r="U409" s="42"/>
      <c r="V409" s="42"/>
      <c r="W409" s="42"/>
      <c r="X409" s="42"/>
    </row>
    <row r="410" customFormat="false" ht="21.75" hidden="false" customHeight="true" outlineLevel="0" collapsed="false">
      <c r="A410" s="37"/>
      <c r="B410" s="37"/>
      <c r="C410" s="37"/>
      <c r="D410" s="37"/>
      <c r="E410" s="37"/>
      <c r="F410" s="37"/>
      <c r="G410" s="37"/>
      <c r="H410" s="37"/>
      <c r="I410" s="37"/>
      <c r="J410" s="38" t="str">
        <f aca="false">IF(I410="","",ROUND(I410/1.2,2))</f>
        <v/>
      </c>
      <c r="K410" s="37"/>
      <c r="L410" s="38" t="str">
        <f aca="false">IF(OR(I410="",K410=""),"",I410-K410)</f>
        <v/>
      </c>
      <c r="M410" s="38" t="str">
        <f aca="false">IF(L410="","",L410-N410)</f>
        <v/>
      </c>
      <c r="N410" s="40" t="str">
        <f aca="false">IF(L410="","",ROUND(L410/6,2))</f>
        <v/>
      </c>
      <c r="O410" s="39" t="str">
        <f aca="false">IF(OR(K410="",K410=0),"",M410/K410)</f>
        <v/>
      </c>
      <c r="P410" s="37"/>
      <c r="Q410" s="37"/>
      <c r="R410" s="37"/>
      <c r="S410" s="37"/>
      <c r="T410" s="37"/>
      <c r="U410" s="37"/>
      <c r="V410" s="37"/>
      <c r="W410" s="37"/>
      <c r="X410" s="37"/>
    </row>
    <row r="411" customFormat="false" ht="21.75" hidden="false" customHeight="true" outlineLevel="0" collapsed="false">
      <c r="A411" s="42"/>
      <c r="B411" s="42"/>
      <c r="C411" s="42"/>
      <c r="D411" s="42"/>
      <c r="E411" s="42"/>
      <c r="F411" s="42"/>
      <c r="G411" s="42"/>
      <c r="H411" s="42"/>
      <c r="I411" s="42"/>
      <c r="J411" s="43" t="str">
        <f aca="false">IF(I411="","",ROUND(I411/1.2,2))</f>
        <v/>
      </c>
      <c r="K411" s="42"/>
      <c r="L411" s="43" t="str">
        <f aca="false">IF(OR(I411="",K411=""),"",I411-K411)</f>
        <v/>
      </c>
      <c r="M411" s="43" t="str">
        <f aca="false">IF(L411="","",L411-N411)</f>
        <v/>
      </c>
      <c r="N411" s="45" t="str">
        <f aca="false">IF(L411="","",ROUND(L411/6,2))</f>
        <v/>
      </c>
      <c r="O411" s="44" t="str">
        <f aca="false">IF(OR(K411="",K411=0),"",M411/K411)</f>
        <v/>
      </c>
      <c r="P411" s="42"/>
      <c r="Q411" s="42"/>
      <c r="R411" s="42"/>
      <c r="S411" s="42"/>
      <c r="T411" s="42"/>
      <c r="U411" s="42"/>
      <c r="V411" s="42"/>
      <c r="W411" s="42"/>
      <c r="X411" s="42"/>
    </row>
    <row r="412" customFormat="false" ht="21.75" hidden="false" customHeight="true" outlineLevel="0" collapsed="false">
      <c r="A412" s="37"/>
      <c r="B412" s="37"/>
      <c r="C412" s="37"/>
      <c r="D412" s="37"/>
      <c r="E412" s="37"/>
      <c r="F412" s="37"/>
      <c r="G412" s="37"/>
      <c r="H412" s="37"/>
      <c r="I412" s="37"/>
      <c r="J412" s="38" t="str">
        <f aca="false">IF(I412="","",ROUND(I412/1.2,2))</f>
        <v/>
      </c>
      <c r="K412" s="37"/>
      <c r="L412" s="38" t="str">
        <f aca="false">IF(OR(I412="",K412=""),"",I412-K412)</f>
        <v/>
      </c>
      <c r="M412" s="38" t="str">
        <f aca="false">IF(L412="","",L412-N412)</f>
        <v/>
      </c>
      <c r="N412" s="40" t="str">
        <f aca="false">IF(L412="","",ROUND(L412/6,2))</f>
        <v/>
      </c>
      <c r="O412" s="39" t="str">
        <f aca="false">IF(OR(K412="",K412=0),"",M412/K412)</f>
        <v/>
      </c>
      <c r="P412" s="37"/>
      <c r="Q412" s="37"/>
      <c r="R412" s="37"/>
      <c r="S412" s="37"/>
      <c r="T412" s="37"/>
      <c r="U412" s="37"/>
      <c r="V412" s="37"/>
      <c r="W412" s="37"/>
      <c r="X412" s="37"/>
    </row>
    <row r="413" customFormat="false" ht="21.75" hidden="false" customHeight="true" outlineLevel="0" collapsed="false">
      <c r="A413" s="42"/>
      <c r="B413" s="42"/>
      <c r="C413" s="42"/>
      <c r="D413" s="42"/>
      <c r="E413" s="42"/>
      <c r="F413" s="42"/>
      <c r="G413" s="42"/>
      <c r="H413" s="42"/>
      <c r="I413" s="42"/>
      <c r="J413" s="43" t="str">
        <f aca="false">IF(I413="","",ROUND(I413/1.2,2))</f>
        <v/>
      </c>
      <c r="K413" s="42"/>
      <c r="L413" s="43" t="str">
        <f aca="false">IF(OR(I413="",K413=""),"",I413-K413)</f>
        <v/>
      </c>
      <c r="M413" s="43" t="str">
        <f aca="false">IF(L413="","",L413-N413)</f>
        <v/>
      </c>
      <c r="N413" s="45" t="str">
        <f aca="false">IF(L413="","",ROUND(L413/6,2))</f>
        <v/>
      </c>
      <c r="O413" s="44" t="str">
        <f aca="false">IF(OR(K413="",K413=0),"",M413/K413)</f>
        <v/>
      </c>
      <c r="P413" s="42"/>
      <c r="Q413" s="42"/>
      <c r="R413" s="42"/>
      <c r="S413" s="42"/>
      <c r="T413" s="42"/>
      <c r="U413" s="42"/>
      <c r="V413" s="42"/>
      <c r="W413" s="42"/>
      <c r="X413" s="42"/>
    </row>
    <row r="414" customFormat="false" ht="21.75" hidden="false" customHeight="true" outlineLevel="0" collapsed="false">
      <c r="A414" s="37"/>
      <c r="B414" s="37"/>
      <c r="C414" s="37"/>
      <c r="D414" s="37"/>
      <c r="E414" s="37"/>
      <c r="F414" s="37"/>
      <c r="G414" s="37"/>
      <c r="H414" s="37"/>
      <c r="I414" s="37"/>
      <c r="J414" s="38" t="str">
        <f aca="false">IF(I414="","",ROUND(I414/1.2,2))</f>
        <v/>
      </c>
      <c r="K414" s="37"/>
      <c r="L414" s="38" t="str">
        <f aca="false">IF(OR(I414="",K414=""),"",I414-K414)</f>
        <v/>
      </c>
      <c r="M414" s="38" t="str">
        <f aca="false">IF(L414="","",L414-N414)</f>
        <v/>
      </c>
      <c r="N414" s="40" t="str">
        <f aca="false">IF(L414="","",ROUND(L414/6,2))</f>
        <v/>
      </c>
      <c r="O414" s="39" t="str">
        <f aca="false">IF(OR(K414="",K414=0),"",M414/K414)</f>
        <v/>
      </c>
      <c r="P414" s="37"/>
      <c r="Q414" s="37"/>
      <c r="R414" s="37"/>
      <c r="S414" s="37"/>
      <c r="T414" s="37"/>
      <c r="U414" s="37"/>
      <c r="V414" s="37"/>
      <c r="W414" s="37"/>
      <c r="X414" s="37"/>
    </row>
    <row r="415" customFormat="false" ht="21.75" hidden="false" customHeight="true" outlineLevel="0" collapsed="false">
      <c r="A415" s="42"/>
      <c r="B415" s="42"/>
      <c r="C415" s="42"/>
      <c r="D415" s="42"/>
      <c r="E415" s="42"/>
      <c r="F415" s="42"/>
      <c r="G415" s="42"/>
      <c r="H415" s="42"/>
      <c r="I415" s="42"/>
      <c r="J415" s="43" t="str">
        <f aca="false">IF(I415="","",ROUND(I415/1.2,2))</f>
        <v/>
      </c>
      <c r="K415" s="42"/>
      <c r="L415" s="43" t="str">
        <f aca="false">IF(OR(I415="",K415=""),"",I415-K415)</f>
        <v/>
      </c>
      <c r="M415" s="43" t="str">
        <f aca="false">IF(L415="","",L415-N415)</f>
        <v/>
      </c>
      <c r="N415" s="45" t="str">
        <f aca="false">IF(L415="","",ROUND(L415/6,2))</f>
        <v/>
      </c>
      <c r="O415" s="44" t="str">
        <f aca="false">IF(OR(K415="",K415=0),"",M415/K415)</f>
        <v/>
      </c>
      <c r="P415" s="42"/>
      <c r="Q415" s="42"/>
      <c r="R415" s="42"/>
      <c r="S415" s="42"/>
      <c r="T415" s="42"/>
      <c r="U415" s="42"/>
      <c r="V415" s="42"/>
      <c r="W415" s="42"/>
      <c r="X415" s="42"/>
    </row>
    <row r="416" customFormat="false" ht="21.75" hidden="false" customHeight="true" outlineLevel="0" collapsed="false">
      <c r="A416" s="37"/>
      <c r="B416" s="37"/>
      <c r="C416" s="37"/>
      <c r="D416" s="37"/>
      <c r="E416" s="37"/>
      <c r="F416" s="37"/>
      <c r="G416" s="37"/>
      <c r="H416" s="37"/>
      <c r="I416" s="37"/>
      <c r="J416" s="38" t="str">
        <f aca="false">IF(I416="","",ROUND(I416/1.2,2))</f>
        <v/>
      </c>
      <c r="K416" s="37"/>
      <c r="L416" s="38" t="str">
        <f aca="false">IF(OR(I416="",K416=""),"",I416-K416)</f>
        <v/>
      </c>
      <c r="M416" s="38" t="str">
        <f aca="false">IF(L416="","",L416-N416)</f>
        <v/>
      </c>
      <c r="N416" s="40" t="str">
        <f aca="false">IF(L416="","",ROUND(L416/6,2))</f>
        <v/>
      </c>
      <c r="O416" s="39" t="str">
        <f aca="false">IF(OR(K416="",K416=0),"",M416/K416)</f>
        <v/>
      </c>
      <c r="P416" s="37"/>
      <c r="Q416" s="37"/>
      <c r="R416" s="37"/>
      <c r="S416" s="37"/>
      <c r="T416" s="37"/>
      <c r="U416" s="37"/>
      <c r="V416" s="37"/>
      <c r="W416" s="37"/>
      <c r="X416" s="37"/>
    </row>
    <row r="417" customFormat="false" ht="21.75" hidden="false" customHeight="true" outlineLevel="0" collapsed="false">
      <c r="A417" s="42"/>
      <c r="B417" s="42"/>
      <c r="C417" s="42"/>
      <c r="D417" s="42"/>
      <c r="E417" s="42"/>
      <c r="F417" s="42"/>
      <c r="G417" s="42"/>
      <c r="H417" s="42"/>
      <c r="I417" s="42"/>
      <c r="J417" s="43" t="str">
        <f aca="false">IF(I417="","",ROUND(I417/1.2,2))</f>
        <v/>
      </c>
      <c r="K417" s="42"/>
      <c r="L417" s="43" t="str">
        <f aca="false">IF(OR(I417="",K417=""),"",I417-K417)</f>
        <v/>
      </c>
      <c r="M417" s="43" t="str">
        <f aca="false">IF(L417="","",L417-N417)</f>
        <v/>
      </c>
      <c r="N417" s="45" t="str">
        <f aca="false">IF(L417="","",ROUND(L417/6,2))</f>
        <v/>
      </c>
      <c r="O417" s="44" t="str">
        <f aca="false">IF(OR(K417="",K417=0),"",M417/K417)</f>
        <v/>
      </c>
      <c r="P417" s="42"/>
      <c r="Q417" s="42"/>
      <c r="R417" s="42"/>
      <c r="S417" s="42"/>
      <c r="T417" s="42"/>
      <c r="U417" s="42"/>
      <c r="V417" s="42"/>
      <c r="W417" s="42"/>
      <c r="X417" s="42"/>
    </row>
    <row r="418" customFormat="false" ht="21.75" hidden="false" customHeight="true" outlineLevel="0" collapsed="false">
      <c r="A418" s="37"/>
      <c r="B418" s="37"/>
      <c r="C418" s="37"/>
      <c r="D418" s="37"/>
      <c r="E418" s="37"/>
      <c r="F418" s="37"/>
      <c r="G418" s="37"/>
      <c r="H418" s="37"/>
      <c r="I418" s="37"/>
      <c r="J418" s="38" t="str">
        <f aca="false">IF(I418="","",ROUND(I418/1.2,2))</f>
        <v/>
      </c>
      <c r="K418" s="37"/>
      <c r="L418" s="38" t="str">
        <f aca="false">IF(OR(I418="",K418=""),"",I418-K418)</f>
        <v/>
      </c>
      <c r="M418" s="38" t="str">
        <f aca="false">IF(L418="","",L418-N418)</f>
        <v/>
      </c>
      <c r="N418" s="40" t="str">
        <f aca="false">IF(L418="","",ROUND(L418/6,2))</f>
        <v/>
      </c>
      <c r="O418" s="39" t="str">
        <f aca="false">IF(OR(K418="",K418=0),"",M418/K418)</f>
        <v/>
      </c>
      <c r="P418" s="37"/>
      <c r="Q418" s="37"/>
      <c r="R418" s="37"/>
      <c r="S418" s="37"/>
      <c r="T418" s="37"/>
      <c r="U418" s="37"/>
      <c r="V418" s="37"/>
      <c r="W418" s="37"/>
      <c r="X418" s="37"/>
    </row>
    <row r="419" customFormat="false" ht="21.75" hidden="false" customHeight="true" outlineLevel="0" collapsed="false">
      <c r="A419" s="42"/>
      <c r="B419" s="42"/>
      <c r="C419" s="42"/>
      <c r="D419" s="42"/>
      <c r="E419" s="42"/>
      <c r="F419" s="42"/>
      <c r="G419" s="42"/>
      <c r="H419" s="42"/>
      <c r="I419" s="42"/>
      <c r="J419" s="43" t="str">
        <f aca="false">IF(I419="","",ROUND(I419/1.2,2))</f>
        <v/>
      </c>
      <c r="K419" s="42"/>
      <c r="L419" s="43" t="str">
        <f aca="false">IF(OR(I419="",K419=""),"",I419-K419)</f>
        <v/>
      </c>
      <c r="M419" s="43" t="str">
        <f aca="false">IF(L419="","",L419-N419)</f>
        <v/>
      </c>
      <c r="N419" s="45" t="str">
        <f aca="false">IF(L419="","",ROUND(L419/6,2))</f>
        <v/>
      </c>
      <c r="O419" s="44" t="str">
        <f aca="false">IF(OR(K419="",K419=0),"",M419/K419)</f>
        <v/>
      </c>
      <c r="P419" s="42"/>
      <c r="Q419" s="42"/>
      <c r="R419" s="42"/>
      <c r="S419" s="42"/>
      <c r="T419" s="42"/>
      <c r="U419" s="42"/>
      <c r="V419" s="42"/>
      <c r="W419" s="42"/>
      <c r="X419" s="42"/>
    </row>
    <row r="420" customFormat="false" ht="21.75" hidden="false" customHeight="true" outlineLevel="0" collapsed="false">
      <c r="A420" s="37"/>
      <c r="B420" s="37"/>
      <c r="C420" s="37"/>
      <c r="D420" s="37"/>
      <c r="E420" s="37"/>
      <c r="F420" s="37"/>
      <c r="G420" s="37"/>
      <c r="H420" s="37"/>
      <c r="I420" s="37"/>
      <c r="J420" s="38" t="str">
        <f aca="false">IF(I420="","",ROUND(I420/1.2,2))</f>
        <v/>
      </c>
      <c r="K420" s="37"/>
      <c r="L420" s="38" t="str">
        <f aca="false">IF(OR(I420="",K420=""),"",I420-K420)</f>
        <v/>
      </c>
      <c r="M420" s="38" t="str">
        <f aca="false">IF(L420="","",L420-N420)</f>
        <v/>
      </c>
      <c r="N420" s="40" t="str">
        <f aca="false">IF(L420="","",ROUND(L420/6,2))</f>
        <v/>
      </c>
      <c r="O420" s="39" t="str">
        <f aca="false">IF(OR(K420="",K420=0),"",M420/K420)</f>
        <v/>
      </c>
      <c r="P420" s="37"/>
      <c r="Q420" s="37"/>
      <c r="R420" s="37"/>
      <c r="S420" s="37"/>
      <c r="T420" s="37"/>
      <c r="U420" s="37"/>
      <c r="V420" s="37"/>
      <c r="W420" s="37"/>
      <c r="X420" s="37"/>
    </row>
    <row r="421" customFormat="false" ht="21.75" hidden="false" customHeight="true" outlineLevel="0" collapsed="false">
      <c r="A421" s="42"/>
      <c r="B421" s="42"/>
      <c r="C421" s="42"/>
      <c r="D421" s="42"/>
      <c r="E421" s="42"/>
      <c r="F421" s="42"/>
      <c r="G421" s="42"/>
      <c r="H421" s="42"/>
      <c r="I421" s="42"/>
      <c r="J421" s="43" t="str">
        <f aca="false">IF(I421="","",ROUND(I421/1.2,2))</f>
        <v/>
      </c>
      <c r="K421" s="42"/>
      <c r="L421" s="43" t="str">
        <f aca="false">IF(OR(I421="",K421=""),"",I421-K421)</f>
        <v/>
      </c>
      <c r="M421" s="43" t="str">
        <f aca="false">IF(L421="","",L421-N421)</f>
        <v/>
      </c>
      <c r="N421" s="45" t="str">
        <f aca="false">IF(L421="","",ROUND(L421/6,2))</f>
        <v/>
      </c>
      <c r="O421" s="44" t="str">
        <f aca="false">IF(OR(K421="",K421=0),"",M421/K421)</f>
        <v/>
      </c>
      <c r="P421" s="42"/>
      <c r="Q421" s="42"/>
      <c r="R421" s="42"/>
      <c r="S421" s="42"/>
      <c r="T421" s="42"/>
      <c r="U421" s="42"/>
      <c r="V421" s="42"/>
      <c r="W421" s="42"/>
      <c r="X421" s="42"/>
    </row>
    <row r="422" customFormat="false" ht="21.75" hidden="false" customHeight="true" outlineLevel="0" collapsed="false">
      <c r="A422" s="37"/>
      <c r="B422" s="37"/>
      <c r="C422" s="37"/>
      <c r="D422" s="37"/>
      <c r="E422" s="37"/>
      <c r="F422" s="37"/>
      <c r="G422" s="37"/>
      <c r="H422" s="37"/>
      <c r="I422" s="37"/>
      <c r="J422" s="38" t="str">
        <f aca="false">IF(I422="","",ROUND(I422/1.2,2))</f>
        <v/>
      </c>
      <c r="K422" s="37"/>
      <c r="L422" s="38" t="str">
        <f aca="false">IF(OR(I422="",K422=""),"",I422-K422)</f>
        <v/>
      </c>
      <c r="M422" s="38" t="str">
        <f aca="false">IF(L422="","",L422-N422)</f>
        <v/>
      </c>
      <c r="N422" s="40" t="str">
        <f aca="false">IF(L422="","",ROUND(L422/6,2))</f>
        <v/>
      </c>
      <c r="O422" s="39" t="str">
        <f aca="false">IF(OR(K422="",K422=0),"",M422/K422)</f>
        <v/>
      </c>
      <c r="P422" s="37"/>
      <c r="Q422" s="37"/>
      <c r="R422" s="37"/>
      <c r="S422" s="37"/>
      <c r="T422" s="37"/>
      <c r="U422" s="37"/>
      <c r="V422" s="37"/>
      <c r="W422" s="37"/>
      <c r="X422" s="37"/>
    </row>
    <row r="423" customFormat="false" ht="21.75" hidden="false" customHeight="true" outlineLevel="0" collapsed="false">
      <c r="A423" s="42"/>
      <c r="B423" s="42"/>
      <c r="C423" s="42"/>
      <c r="D423" s="42"/>
      <c r="E423" s="42"/>
      <c r="F423" s="42"/>
      <c r="G423" s="42"/>
      <c r="H423" s="42"/>
      <c r="I423" s="42"/>
      <c r="J423" s="43" t="str">
        <f aca="false">IF(I423="","",ROUND(I423/1.2,2))</f>
        <v/>
      </c>
      <c r="K423" s="42"/>
      <c r="L423" s="43" t="str">
        <f aca="false">IF(OR(I423="",K423=""),"",I423-K423)</f>
        <v/>
      </c>
      <c r="M423" s="43" t="str">
        <f aca="false">IF(L423="","",L423-N423)</f>
        <v/>
      </c>
      <c r="N423" s="45" t="str">
        <f aca="false">IF(L423="","",ROUND(L423/6,2))</f>
        <v/>
      </c>
      <c r="O423" s="44" t="str">
        <f aca="false">IF(OR(K423="",K423=0),"",M423/K423)</f>
        <v/>
      </c>
      <c r="P423" s="42"/>
      <c r="Q423" s="42"/>
      <c r="R423" s="42"/>
      <c r="S423" s="42"/>
      <c r="T423" s="42"/>
      <c r="U423" s="42"/>
      <c r="V423" s="42"/>
      <c r="W423" s="42"/>
      <c r="X423" s="42"/>
    </row>
    <row r="424" customFormat="false" ht="21.75" hidden="false" customHeight="true" outlineLevel="0" collapsed="false">
      <c r="A424" s="37"/>
      <c r="B424" s="37"/>
      <c r="C424" s="37"/>
      <c r="D424" s="37"/>
      <c r="E424" s="37"/>
      <c r="F424" s="37"/>
      <c r="G424" s="37"/>
      <c r="H424" s="37"/>
      <c r="I424" s="37"/>
      <c r="J424" s="38" t="str">
        <f aca="false">IF(I424="","",ROUND(I424/1.2,2))</f>
        <v/>
      </c>
      <c r="K424" s="37"/>
      <c r="L424" s="38" t="str">
        <f aca="false">IF(OR(I424="",K424=""),"",I424-K424)</f>
        <v/>
      </c>
      <c r="M424" s="38" t="str">
        <f aca="false">IF(L424="","",L424-N424)</f>
        <v/>
      </c>
      <c r="N424" s="40" t="str">
        <f aca="false">IF(L424="","",ROUND(L424/6,2))</f>
        <v/>
      </c>
      <c r="O424" s="39" t="str">
        <f aca="false">IF(OR(K424="",K424=0),"",M424/K424)</f>
        <v/>
      </c>
      <c r="P424" s="37"/>
      <c r="Q424" s="37"/>
      <c r="R424" s="37"/>
      <c r="S424" s="37"/>
      <c r="T424" s="37"/>
      <c r="U424" s="37"/>
      <c r="V424" s="37"/>
      <c r="W424" s="37"/>
      <c r="X424" s="37"/>
    </row>
    <row r="425" customFormat="false" ht="21.75" hidden="false" customHeight="true" outlineLevel="0" collapsed="false">
      <c r="A425" s="42"/>
      <c r="B425" s="42"/>
      <c r="C425" s="42"/>
      <c r="D425" s="42"/>
      <c r="E425" s="42"/>
      <c r="F425" s="42"/>
      <c r="G425" s="42"/>
      <c r="H425" s="42"/>
      <c r="I425" s="42"/>
      <c r="J425" s="43" t="str">
        <f aca="false">IF(I425="","",ROUND(I425/1.2,2))</f>
        <v/>
      </c>
      <c r="K425" s="42"/>
      <c r="L425" s="43" t="str">
        <f aca="false">IF(OR(I425="",K425=""),"",I425-K425)</f>
        <v/>
      </c>
      <c r="M425" s="43" t="str">
        <f aca="false">IF(L425="","",L425-N425)</f>
        <v/>
      </c>
      <c r="N425" s="45" t="str">
        <f aca="false">IF(L425="","",ROUND(L425/6,2))</f>
        <v/>
      </c>
      <c r="O425" s="44" t="str">
        <f aca="false">IF(OR(K425="",K425=0),"",M425/K425)</f>
        <v/>
      </c>
      <c r="P425" s="42"/>
      <c r="Q425" s="42"/>
      <c r="R425" s="42"/>
      <c r="S425" s="42"/>
      <c r="T425" s="42"/>
      <c r="U425" s="42"/>
      <c r="V425" s="42"/>
      <c r="W425" s="42"/>
      <c r="X425" s="42"/>
    </row>
    <row r="426" customFormat="false" ht="21.75" hidden="false" customHeight="true" outlineLevel="0" collapsed="false">
      <c r="A426" s="37"/>
      <c r="B426" s="37"/>
      <c r="C426" s="37"/>
      <c r="D426" s="37"/>
      <c r="E426" s="37"/>
      <c r="F426" s="37"/>
      <c r="G426" s="37"/>
      <c r="H426" s="37"/>
      <c r="I426" s="37"/>
      <c r="J426" s="38" t="str">
        <f aca="false">IF(I426="","",ROUND(I426/1.2,2))</f>
        <v/>
      </c>
      <c r="K426" s="37"/>
      <c r="L426" s="38" t="str">
        <f aca="false">IF(OR(I426="",K426=""),"",I426-K426)</f>
        <v/>
      </c>
      <c r="M426" s="38" t="str">
        <f aca="false">IF(L426="","",L426-N426)</f>
        <v/>
      </c>
      <c r="N426" s="40" t="str">
        <f aca="false">IF(L426="","",ROUND(L426/6,2))</f>
        <v/>
      </c>
      <c r="O426" s="39" t="str">
        <f aca="false">IF(OR(K426="",K426=0),"",M426/K426)</f>
        <v/>
      </c>
      <c r="P426" s="37"/>
      <c r="Q426" s="37"/>
      <c r="R426" s="37"/>
      <c r="S426" s="37"/>
      <c r="T426" s="37"/>
      <c r="U426" s="37"/>
      <c r="V426" s="37"/>
      <c r="W426" s="37"/>
      <c r="X426" s="37"/>
    </row>
    <row r="427" customFormat="false" ht="21.75" hidden="false" customHeight="true" outlineLevel="0" collapsed="false">
      <c r="A427" s="42"/>
      <c r="B427" s="42"/>
      <c r="C427" s="42"/>
      <c r="D427" s="42"/>
      <c r="E427" s="42"/>
      <c r="F427" s="42"/>
      <c r="G427" s="42"/>
      <c r="H427" s="42"/>
      <c r="I427" s="42"/>
      <c r="J427" s="43" t="str">
        <f aca="false">IF(I427="","",ROUND(I427/1.2,2))</f>
        <v/>
      </c>
      <c r="K427" s="42"/>
      <c r="L427" s="43" t="str">
        <f aca="false">IF(OR(I427="",K427=""),"",I427-K427)</f>
        <v/>
      </c>
      <c r="M427" s="43" t="str">
        <f aca="false">IF(L427="","",L427-N427)</f>
        <v/>
      </c>
      <c r="N427" s="45" t="str">
        <f aca="false">IF(L427="","",ROUND(L427/6,2))</f>
        <v/>
      </c>
      <c r="O427" s="44" t="str">
        <f aca="false">IF(OR(K427="",K427=0),"",M427/K427)</f>
        <v/>
      </c>
      <c r="P427" s="42"/>
      <c r="Q427" s="42"/>
      <c r="R427" s="42"/>
      <c r="S427" s="42"/>
      <c r="T427" s="42"/>
      <c r="U427" s="42"/>
      <c r="V427" s="42"/>
      <c r="W427" s="42"/>
      <c r="X427" s="42"/>
    </row>
    <row r="428" customFormat="false" ht="21.75" hidden="false" customHeight="true" outlineLevel="0" collapsed="false">
      <c r="A428" s="37"/>
      <c r="B428" s="37"/>
      <c r="C428" s="37"/>
      <c r="D428" s="37"/>
      <c r="E428" s="37"/>
      <c r="F428" s="37"/>
      <c r="G428" s="37"/>
      <c r="H428" s="37"/>
      <c r="I428" s="37"/>
      <c r="J428" s="38" t="str">
        <f aca="false">IF(I428="","",ROUND(I428/1.2,2))</f>
        <v/>
      </c>
      <c r="K428" s="37"/>
      <c r="L428" s="38" t="str">
        <f aca="false">IF(OR(I428="",K428=""),"",I428-K428)</f>
        <v/>
      </c>
      <c r="M428" s="38" t="str">
        <f aca="false">IF(L428="","",L428-N428)</f>
        <v/>
      </c>
      <c r="N428" s="40" t="str">
        <f aca="false">IF(L428="","",ROUND(L428/6,2))</f>
        <v/>
      </c>
      <c r="O428" s="39" t="str">
        <f aca="false">IF(OR(K428="",K428=0),"",M428/K428)</f>
        <v/>
      </c>
      <c r="P428" s="37"/>
      <c r="Q428" s="37"/>
      <c r="R428" s="37"/>
      <c r="S428" s="37"/>
      <c r="T428" s="37"/>
      <c r="U428" s="37"/>
      <c r="V428" s="37"/>
      <c r="W428" s="37"/>
      <c r="X428" s="37"/>
    </row>
    <row r="429" customFormat="false" ht="21.75" hidden="false" customHeight="true" outlineLevel="0" collapsed="false">
      <c r="A429" s="42"/>
      <c r="B429" s="42"/>
      <c r="C429" s="42"/>
      <c r="D429" s="42"/>
      <c r="E429" s="42"/>
      <c r="F429" s="42"/>
      <c r="G429" s="42"/>
      <c r="H429" s="42"/>
      <c r="I429" s="42"/>
      <c r="J429" s="43" t="str">
        <f aca="false">IF(I429="","",ROUND(I429/1.2,2))</f>
        <v/>
      </c>
      <c r="K429" s="42"/>
      <c r="L429" s="43" t="str">
        <f aca="false">IF(OR(I429="",K429=""),"",I429-K429)</f>
        <v/>
      </c>
      <c r="M429" s="43" t="str">
        <f aca="false">IF(L429="","",L429-N429)</f>
        <v/>
      </c>
      <c r="N429" s="45" t="str">
        <f aca="false">IF(L429="","",ROUND(L429/6,2))</f>
        <v/>
      </c>
      <c r="O429" s="44" t="str">
        <f aca="false">IF(OR(K429="",K429=0),"",M429/K429)</f>
        <v/>
      </c>
      <c r="P429" s="42"/>
      <c r="Q429" s="42"/>
      <c r="R429" s="42"/>
      <c r="S429" s="42"/>
      <c r="T429" s="42"/>
      <c r="U429" s="42"/>
      <c r="V429" s="42"/>
      <c r="W429" s="42"/>
      <c r="X429" s="42"/>
    </row>
    <row r="430" customFormat="false" ht="21.75" hidden="false" customHeight="true" outlineLevel="0" collapsed="false">
      <c r="A430" s="37"/>
      <c r="B430" s="37"/>
      <c r="C430" s="37"/>
      <c r="D430" s="37"/>
      <c r="E430" s="37"/>
      <c r="F430" s="37"/>
      <c r="G430" s="37"/>
      <c r="H430" s="37"/>
      <c r="I430" s="37"/>
      <c r="J430" s="38" t="str">
        <f aca="false">IF(I430="","",ROUND(I430/1.2,2))</f>
        <v/>
      </c>
      <c r="K430" s="37"/>
      <c r="L430" s="38" t="str">
        <f aca="false">IF(OR(I430="",K430=""),"",I430-K430)</f>
        <v/>
      </c>
      <c r="M430" s="38" t="str">
        <f aca="false">IF(L430="","",L430-N430)</f>
        <v/>
      </c>
      <c r="N430" s="40" t="str">
        <f aca="false">IF(L430="","",ROUND(L430/6,2))</f>
        <v/>
      </c>
      <c r="O430" s="39" t="str">
        <f aca="false">IF(OR(K430="",K430=0),"",M430/K430)</f>
        <v/>
      </c>
      <c r="P430" s="37"/>
      <c r="Q430" s="37"/>
      <c r="R430" s="37"/>
      <c r="S430" s="37"/>
      <c r="T430" s="37"/>
      <c r="U430" s="37"/>
      <c r="V430" s="37"/>
      <c r="W430" s="37"/>
      <c r="X430" s="37"/>
    </row>
    <row r="431" customFormat="false" ht="21.75" hidden="false" customHeight="true" outlineLevel="0" collapsed="false">
      <c r="A431" s="42"/>
      <c r="B431" s="42"/>
      <c r="C431" s="42"/>
      <c r="D431" s="42"/>
      <c r="E431" s="42"/>
      <c r="F431" s="42"/>
      <c r="G431" s="42"/>
      <c r="H431" s="42"/>
      <c r="I431" s="42"/>
      <c r="J431" s="43" t="str">
        <f aca="false">IF(I431="","",ROUND(I431/1.2,2))</f>
        <v/>
      </c>
      <c r="K431" s="42"/>
      <c r="L431" s="43" t="str">
        <f aca="false">IF(OR(I431="",K431=""),"",I431-K431)</f>
        <v/>
      </c>
      <c r="M431" s="43" t="str">
        <f aca="false">IF(L431="","",L431-N431)</f>
        <v/>
      </c>
      <c r="N431" s="45" t="str">
        <f aca="false">IF(L431="","",ROUND(L431/6,2))</f>
        <v/>
      </c>
      <c r="O431" s="44" t="str">
        <f aca="false">IF(OR(K431="",K431=0),"",M431/K431)</f>
        <v/>
      </c>
      <c r="P431" s="42"/>
      <c r="Q431" s="42"/>
      <c r="R431" s="42"/>
      <c r="S431" s="42"/>
      <c r="T431" s="42"/>
      <c r="U431" s="42"/>
      <c r="V431" s="42"/>
      <c r="W431" s="42"/>
      <c r="X431" s="42"/>
    </row>
    <row r="432" customFormat="false" ht="21.75" hidden="false" customHeight="true" outlineLevel="0" collapsed="false">
      <c r="A432" s="37"/>
      <c r="B432" s="37"/>
      <c r="C432" s="37"/>
      <c r="D432" s="37"/>
      <c r="E432" s="37"/>
      <c r="F432" s="37"/>
      <c r="G432" s="37"/>
      <c r="H432" s="37"/>
      <c r="I432" s="37"/>
      <c r="J432" s="38" t="str">
        <f aca="false">IF(I432="","",ROUND(I432/1.2,2))</f>
        <v/>
      </c>
      <c r="K432" s="37"/>
      <c r="L432" s="38" t="str">
        <f aca="false">IF(OR(I432="",K432=""),"",I432-K432)</f>
        <v/>
      </c>
      <c r="M432" s="38" t="str">
        <f aca="false">IF(L432="","",L432-N432)</f>
        <v/>
      </c>
      <c r="N432" s="40" t="str">
        <f aca="false">IF(L432="","",ROUND(L432/6,2))</f>
        <v/>
      </c>
      <c r="O432" s="39" t="str">
        <f aca="false">IF(OR(K432="",K432=0),"",M432/K432)</f>
        <v/>
      </c>
      <c r="P432" s="37"/>
      <c r="Q432" s="37"/>
      <c r="R432" s="37"/>
      <c r="S432" s="37"/>
      <c r="T432" s="37"/>
      <c r="U432" s="37"/>
      <c r="V432" s="37"/>
      <c r="W432" s="37"/>
      <c r="X432" s="37"/>
    </row>
    <row r="433" customFormat="false" ht="21.75" hidden="false" customHeight="true" outlineLevel="0" collapsed="false">
      <c r="A433" s="42"/>
      <c r="B433" s="42"/>
      <c r="C433" s="42"/>
      <c r="D433" s="42"/>
      <c r="E433" s="42"/>
      <c r="F433" s="42"/>
      <c r="G433" s="42"/>
      <c r="H433" s="42"/>
      <c r="I433" s="42"/>
      <c r="J433" s="43" t="str">
        <f aca="false">IF(I433="","",ROUND(I433/1.2,2))</f>
        <v/>
      </c>
      <c r="K433" s="42"/>
      <c r="L433" s="43" t="str">
        <f aca="false">IF(OR(I433="",K433=""),"",I433-K433)</f>
        <v/>
      </c>
      <c r="M433" s="43" t="str">
        <f aca="false">IF(L433="","",L433-N433)</f>
        <v/>
      </c>
      <c r="N433" s="45" t="str">
        <f aca="false">IF(L433="","",ROUND(L433/6,2))</f>
        <v/>
      </c>
      <c r="O433" s="44" t="str">
        <f aca="false">IF(OR(K433="",K433=0),"",M433/K433)</f>
        <v/>
      </c>
      <c r="P433" s="42"/>
      <c r="Q433" s="42"/>
      <c r="R433" s="42"/>
      <c r="S433" s="42"/>
      <c r="T433" s="42"/>
      <c r="U433" s="42"/>
      <c r="V433" s="42"/>
      <c r="W433" s="42"/>
      <c r="X433" s="42"/>
    </row>
    <row r="434" customFormat="false" ht="21.75" hidden="false" customHeight="true" outlineLevel="0" collapsed="false">
      <c r="A434" s="37"/>
      <c r="B434" s="37"/>
      <c r="C434" s="37"/>
      <c r="D434" s="37"/>
      <c r="E434" s="37"/>
      <c r="F434" s="37"/>
      <c r="G434" s="37"/>
      <c r="H434" s="37"/>
      <c r="I434" s="37"/>
      <c r="J434" s="38" t="str">
        <f aca="false">IF(I434="","",ROUND(I434/1.2,2))</f>
        <v/>
      </c>
      <c r="K434" s="37"/>
      <c r="L434" s="38" t="str">
        <f aca="false">IF(OR(I434="",K434=""),"",I434-K434)</f>
        <v/>
      </c>
      <c r="M434" s="38" t="str">
        <f aca="false">IF(L434="","",L434-N434)</f>
        <v/>
      </c>
      <c r="N434" s="40" t="str">
        <f aca="false">IF(L434="","",ROUND(L434/6,2))</f>
        <v/>
      </c>
      <c r="O434" s="39" t="str">
        <f aca="false">IF(OR(K434="",K434=0),"",M434/K434)</f>
        <v/>
      </c>
      <c r="P434" s="37"/>
      <c r="Q434" s="37"/>
      <c r="R434" s="37"/>
      <c r="S434" s="37"/>
      <c r="T434" s="37"/>
      <c r="U434" s="37"/>
      <c r="V434" s="37"/>
      <c r="W434" s="37"/>
      <c r="X434" s="37"/>
    </row>
    <row r="435" customFormat="false" ht="21.75" hidden="false" customHeight="true" outlineLevel="0" collapsed="false">
      <c r="A435" s="42"/>
      <c r="B435" s="42"/>
      <c r="C435" s="42"/>
      <c r="D435" s="42"/>
      <c r="E435" s="42"/>
      <c r="F435" s="42"/>
      <c r="G435" s="42"/>
      <c r="H435" s="42"/>
      <c r="I435" s="42"/>
      <c r="J435" s="43" t="str">
        <f aca="false">IF(I435="","",ROUND(I435/1.2,2))</f>
        <v/>
      </c>
      <c r="K435" s="42"/>
      <c r="L435" s="43" t="str">
        <f aca="false">IF(OR(I435="",K435=""),"",I435-K435)</f>
        <v/>
      </c>
      <c r="M435" s="43" t="str">
        <f aca="false">IF(L435="","",L435-N435)</f>
        <v/>
      </c>
      <c r="N435" s="45" t="str">
        <f aca="false">IF(L435="","",ROUND(L435/6,2))</f>
        <v/>
      </c>
      <c r="O435" s="44" t="str">
        <f aca="false">IF(OR(K435="",K435=0),"",M435/K435)</f>
        <v/>
      </c>
      <c r="P435" s="42"/>
      <c r="Q435" s="42"/>
      <c r="R435" s="42"/>
      <c r="S435" s="42"/>
      <c r="T435" s="42"/>
      <c r="U435" s="42"/>
      <c r="V435" s="42"/>
      <c r="W435" s="42"/>
      <c r="X435" s="42"/>
    </row>
    <row r="436" customFormat="false" ht="21.75" hidden="false" customHeight="true" outlineLevel="0" collapsed="false">
      <c r="A436" s="37"/>
      <c r="B436" s="37"/>
      <c r="C436" s="37"/>
      <c r="D436" s="37"/>
      <c r="E436" s="37"/>
      <c r="F436" s="37"/>
      <c r="G436" s="37"/>
      <c r="H436" s="37"/>
      <c r="I436" s="37"/>
      <c r="J436" s="38" t="str">
        <f aca="false">IF(I436="","",ROUND(I436/1.2,2))</f>
        <v/>
      </c>
      <c r="K436" s="37"/>
      <c r="L436" s="38" t="str">
        <f aca="false">IF(OR(I436="",K436=""),"",I436-K436)</f>
        <v/>
      </c>
      <c r="M436" s="38" t="str">
        <f aca="false">IF(L436="","",L436-N436)</f>
        <v/>
      </c>
      <c r="N436" s="40" t="str">
        <f aca="false">IF(L436="","",ROUND(L436/6,2))</f>
        <v/>
      </c>
      <c r="O436" s="39" t="str">
        <f aca="false">IF(OR(K436="",K436=0),"",M436/K436)</f>
        <v/>
      </c>
      <c r="P436" s="37"/>
      <c r="Q436" s="37"/>
      <c r="R436" s="37"/>
      <c r="S436" s="37"/>
      <c r="T436" s="37"/>
      <c r="U436" s="37"/>
      <c r="V436" s="37"/>
      <c r="W436" s="37"/>
      <c r="X436" s="37"/>
    </row>
    <row r="437" customFormat="false" ht="21.75" hidden="false" customHeight="true" outlineLevel="0" collapsed="false">
      <c r="A437" s="42"/>
      <c r="B437" s="42"/>
      <c r="C437" s="42"/>
      <c r="D437" s="42"/>
      <c r="E437" s="42"/>
      <c r="F437" s="42"/>
      <c r="G437" s="42"/>
      <c r="H437" s="42"/>
      <c r="I437" s="42"/>
      <c r="J437" s="43" t="str">
        <f aca="false">IF(I437="","",ROUND(I437/1.2,2))</f>
        <v/>
      </c>
      <c r="K437" s="42"/>
      <c r="L437" s="43" t="str">
        <f aca="false">IF(OR(I437="",K437=""),"",I437-K437)</f>
        <v/>
      </c>
      <c r="M437" s="43" t="str">
        <f aca="false">IF(L437="","",L437-N437)</f>
        <v/>
      </c>
      <c r="N437" s="45" t="str">
        <f aca="false">IF(L437="","",ROUND(L437/6,2))</f>
        <v/>
      </c>
      <c r="O437" s="44" t="str">
        <f aca="false">IF(OR(K437="",K437=0),"",M437/K437)</f>
        <v/>
      </c>
      <c r="P437" s="42"/>
      <c r="Q437" s="42"/>
      <c r="R437" s="42"/>
      <c r="S437" s="42"/>
      <c r="T437" s="42"/>
      <c r="U437" s="42"/>
      <c r="V437" s="42"/>
      <c r="W437" s="42"/>
      <c r="X437" s="42"/>
    </row>
    <row r="438" customFormat="false" ht="21.75" hidden="false" customHeight="true" outlineLevel="0" collapsed="false">
      <c r="A438" s="37"/>
      <c r="B438" s="37"/>
      <c r="C438" s="37"/>
      <c r="D438" s="37"/>
      <c r="E438" s="37"/>
      <c r="F438" s="37"/>
      <c r="G438" s="37"/>
      <c r="H438" s="37"/>
      <c r="I438" s="37"/>
      <c r="J438" s="38" t="str">
        <f aca="false">IF(I438="","",ROUND(I438/1.2,2))</f>
        <v/>
      </c>
      <c r="K438" s="37"/>
      <c r="L438" s="38" t="str">
        <f aca="false">IF(OR(I438="",K438=""),"",I438-K438)</f>
        <v/>
      </c>
      <c r="M438" s="38" t="str">
        <f aca="false">IF(L438="","",L438-N438)</f>
        <v/>
      </c>
      <c r="N438" s="40" t="str">
        <f aca="false">IF(L438="","",ROUND(L438/6,2))</f>
        <v/>
      </c>
      <c r="O438" s="39" t="str">
        <f aca="false">IF(OR(K438="",K438=0),"",M438/K438)</f>
        <v/>
      </c>
      <c r="P438" s="37"/>
      <c r="Q438" s="37"/>
      <c r="R438" s="37"/>
      <c r="S438" s="37"/>
      <c r="T438" s="37"/>
      <c r="U438" s="37"/>
      <c r="V438" s="37"/>
      <c r="W438" s="37"/>
      <c r="X438" s="37"/>
    </row>
    <row r="439" customFormat="false" ht="21.75" hidden="false" customHeight="true" outlineLevel="0" collapsed="false">
      <c r="A439" s="42"/>
      <c r="B439" s="42"/>
      <c r="C439" s="42"/>
      <c r="D439" s="42"/>
      <c r="E439" s="42"/>
      <c r="F439" s="42"/>
      <c r="G439" s="42"/>
      <c r="H439" s="42"/>
      <c r="I439" s="42"/>
      <c r="J439" s="43" t="str">
        <f aca="false">IF(I439="","",ROUND(I439/1.2,2))</f>
        <v/>
      </c>
      <c r="K439" s="42"/>
      <c r="L439" s="43" t="str">
        <f aca="false">IF(OR(I439="",K439=""),"",I439-K439)</f>
        <v/>
      </c>
      <c r="M439" s="43" t="str">
        <f aca="false">IF(L439="","",L439-N439)</f>
        <v/>
      </c>
      <c r="N439" s="45" t="str">
        <f aca="false">IF(L439="","",ROUND(L439/6,2))</f>
        <v/>
      </c>
      <c r="O439" s="44" t="str">
        <f aca="false">IF(OR(K439="",K439=0),"",M439/K439)</f>
        <v/>
      </c>
      <c r="P439" s="42"/>
      <c r="Q439" s="42"/>
      <c r="R439" s="42"/>
      <c r="S439" s="42"/>
      <c r="T439" s="42"/>
      <c r="U439" s="42"/>
      <c r="V439" s="42"/>
      <c r="W439" s="42"/>
      <c r="X439" s="42"/>
    </row>
    <row r="440" customFormat="false" ht="21.75" hidden="false" customHeight="true" outlineLevel="0" collapsed="false">
      <c r="A440" s="37"/>
      <c r="B440" s="37"/>
      <c r="C440" s="37"/>
      <c r="D440" s="37"/>
      <c r="E440" s="37"/>
      <c r="F440" s="37"/>
      <c r="G440" s="37"/>
      <c r="H440" s="37"/>
      <c r="I440" s="37"/>
      <c r="J440" s="38" t="str">
        <f aca="false">IF(I440="","",ROUND(I440/1.2,2))</f>
        <v/>
      </c>
      <c r="K440" s="37"/>
      <c r="L440" s="38" t="str">
        <f aca="false">IF(OR(I440="",K440=""),"",I440-K440)</f>
        <v/>
      </c>
      <c r="M440" s="38" t="str">
        <f aca="false">IF(L440="","",L440-N440)</f>
        <v/>
      </c>
      <c r="N440" s="40" t="str">
        <f aca="false">IF(L440="","",ROUND(L440/6,2))</f>
        <v/>
      </c>
      <c r="O440" s="39" t="str">
        <f aca="false">IF(OR(K440="",K440=0),"",M440/K440)</f>
        <v/>
      </c>
      <c r="P440" s="37"/>
      <c r="Q440" s="37"/>
      <c r="R440" s="37"/>
      <c r="S440" s="37"/>
      <c r="T440" s="37"/>
      <c r="U440" s="37"/>
      <c r="V440" s="37"/>
      <c r="W440" s="37"/>
      <c r="X440" s="37"/>
    </row>
    <row r="441" customFormat="false" ht="21.75" hidden="false" customHeight="true" outlineLevel="0" collapsed="false">
      <c r="A441" s="42"/>
      <c r="B441" s="42"/>
      <c r="C441" s="42"/>
      <c r="D441" s="42"/>
      <c r="E441" s="42"/>
      <c r="F441" s="42"/>
      <c r="G441" s="42"/>
      <c r="H441" s="42"/>
      <c r="I441" s="42"/>
      <c r="J441" s="43" t="str">
        <f aca="false">IF(I441="","",ROUND(I441/1.2,2))</f>
        <v/>
      </c>
      <c r="K441" s="42"/>
      <c r="L441" s="43" t="str">
        <f aca="false">IF(OR(I441="",K441=""),"",I441-K441)</f>
        <v/>
      </c>
      <c r="M441" s="43" t="str">
        <f aca="false">IF(L441="","",L441-N441)</f>
        <v/>
      </c>
      <c r="N441" s="45" t="str">
        <f aca="false">IF(L441="","",ROUND(L441/6,2))</f>
        <v/>
      </c>
      <c r="O441" s="44" t="str">
        <f aca="false">IF(OR(K441="",K441=0),"",M441/K441)</f>
        <v/>
      </c>
      <c r="P441" s="42"/>
      <c r="Q441" s="42"/>
      <c r="R441" s="42"/>
      <c r="S441" s="42"/>
      <c r="T441" s="42"/>
      <c r="U441" s="42"/>
      <c r="V441" s="42"/>
      <c r="W441" s="42"/>
      <c r="X441" s="42"/>
    </row>
    <row r="442" customFormat="false" ht="21.75" hidden="false" customHeight="true" outlineLevel="0" collapsed="false">
      <c r="A442" s="37"/>
      <c r="B442" s="37"/>
      <c r="C442" s="37"/>
      <c r="D442" s="37"/>
      <c r="E442" s="37"/>
      <c r="F442" s="37"/>
      <c r="G442" s="37"/>
      <c r="H442" s="37"/>
      <c r="I442" s="37"/>
      <c r="J442" s="38" t="str">
        <f aca="false">IF(I442="","",ROUND(I442/1.2,2))</f>
        <v/>
      </c>
      <c r="K442" s="37"/>
      <c r="L442" s="38" t="str">
        <f aca="false">IF(OR(I442="",K442=""),"",I442-K442)</f>
        <v/>
      </c>
      <c r="M442" s="38" t="str">
        <f aca="false">IF(L442="","",L442-N442)</f>
        <v/>
      </c>
      <c r="N442" s="40" t="str">
        <f aca="false">IF(L442="","",ROUND(L442/6,2))</f>
        <v/>
      </c>
      <c r="O442" s="39" t="str">
        <f aca="false">IF(OR(K442="",K442=0),"",M442/K442)</f>
        <v/>
      </c>
      <c r="P442" s="37"/>
      <c r="Q442" s="37"/>
      <c r="R442" s="37"/>
      <c r="S442" s="37"/>
      <c r="T442" s="37"/>
      <c r="U442" s="37"/>
      <c r="V442" s="37"/>
      <c r="W442" s="37"/>
      <c r="X442" s="37"/>
    </row>
    <row r="443" customFormat="false" ht="21.75" hidden="false" customHeight="true" outlineLevel="0" collapsed="false">
      <c r="A443" s="42"/>
      <c r="B443" s="42"/>
      <c r="C443" s="42"/>
      <c r="D443" s="42"/>
      <c r="E443" s="42"/>
      <c r="F443" s="42"/>
      <c r="G443" s="42"/>
      <c r="H443" s="42"/>
      <c r="I443" s="42"/>
      <c r="J443" s="43" t="str">
        <f aca="false">IF(I443="","",ROUND(I443/1.2,2))</f>
        <v/>
      </c>
      <c r="K443" s="42"/>
      <c r="L443" s="43" t="str">
        <f aca="false">IF(OR(I443="",K443=""),"",I443-K443)</f>
        <v/>
      </c>
      <c r="M443" s="43" t="str">
        <f aca="false">IF(L443="","",L443-N443)</f>
        <v/>
      </c>
      <c r="N443" s="45" t="str">
        <f aca="false">IF(L443="","",ROUND(L443/6,2))</f>
        <v/>
      </c>
      <c r="O443" s="44" t="str">
        <f aca="false">IF(OR(K443="",K443=0),"",M443/K443)</f>
        <v/>
      </c>
      <c r="P443" s="42"/>
      <c r="Q443" s="42"/>
      <c r="R443" s="42"/>
      <c r="S443" s="42"/>
      <c r="T443" s="42"/>
      <c r="U443" s="42"/>
      <c r="V443" s="42"/>
      <c r="W443" s="42"/>
      <c r="X443" s="42"/>
    </row>
    <row r="444" customFormat="false" ht="21.75" hidden="false" customHeight="true" outlineLevel="0" collapsed="false">
      <c r="A444" s="37"/>
      <c r="B444" s="37"/>
      <c r="C444" s="37"/>
      <c r="D444" s="37"/>
      <c r="E444" s="37"/>
      <c r="F444" s="37"/>
      <c r="G444" s="37"/>
      <c r="H444" s="37"/>
      <c r="I444" s="37"/>
      <c r="J444" s="38" t="str">
        <f aca="false">IF(I444="","",ROUND(I444/1.2,2))</f>
        <v/>
      </c>
      <c r="K444" s="37"/>
      <c r="L444" s="38" t="str">
        <f aca="false">IF(OR(I444="",K444=""),"",I444-K444)</f>
        <v/>
      </c>
      <c r="M444" s="38" t="str">
        <f aca="false">IF(L444="","",L444-N444)</f>
        <v/>
      </c>
      <c r="N444" s="40" t="str">
        <f aca="false">IF(L444="","",ROUND(L444/6,2))</f>
        <v/>
      </c>
      <c r="O444" s="39" t="str">
        <f aca="false">IF(OR(K444="",K444=0),"",M444/K444)</f>
        <v/>
      </c>
      <c r="P444" s="37"/>
      <c r="Q444" s="37"/>
      <c r="R444" s="37"/>
      <c r="S444" s="37"/>
      <c r="T444" s="37"/>
      <c r="U444" s="37"/>
      <c r="V444" s="37"/>
      <c r="W444" s="37"/>
      <c r="X444" s="37"/>
    </row>
    <row r="445" customFormat="false" ht="21.75" hidden="false" customHeight="true" outlineLevel="0" collapsed="false">
      <c r="A445" s="42"/>
      <c r="B445" s="42"/>
      <c r="C445" s="42"/>
      <c r="D445" s="42"/>
      <c r="E445" s="42"/>
      <c r="F445" s="42"/>
      <c r="G445" s="42"/>
      <c r="H445" s="42"/>
      <c r="I445" s="42"/>
      <c r="J445" s="43" t="str">
        <f aca="false">IF(I445="","",ROUND(I445/1.2,2))</f>
        <v/>
      </c>
      <c r="K445" s="42"/>
      <c r="L445" s="43" t="str">
        <f aca="false">IF(OR(I445="",K445=""),"",I445-K445)</f>
        <v/>
      </c>
      <c r="M445" s="43" t="str">
        <f aca="false">IF(L445="","",L445-N445)</f>
        <v/>
      </c>
      <c r="N445" s="45" t="str">
        <f aca="false">IF(L445="","",ROUND(L445/6,2))</f>
        <v/>
      </c>
      <c r="O445" s="44" t="str">
        <f aca="false">IF(OR(K445="",K445=0),"",M445/K445)</f>
        <v/>
      </c>
      <c r="P445" s="42"/>
      <c r="Q445" s="42"/>
      <c r="R445" s="42"/>
      <c r="S445" s="42"/>
      <c r="T445" s="42"/>
      <c r="U445" s="42"/>
      <c r="V445" s="42"/>
      <c r="W445" s="42"/>
      <c r="X445" s="42"/>
    </row>
    <row r="446" customFormat="false" ht="21.75" hidden="false" customHeight="true" outlineLevel="0" collapsed="false">
      <c r="A446" s="37"/>
      <c r="B446" s="37"/>
      <c r="C446" s="37"/>
      <c r="D446" s="37"/>
      <c r="E446" s="37"/>
      <c r="F446" s="37"/>
      <c r="G446" s="37"/>
      <c r="H446" s="37"/>
      <c r="I446" s="37"/>
      <c r="J446" s="38" t="str">
        <f aca="false">IF(I446="","",ROUND(I446/1.2,2))</f>
        <v/>
      </c>
      <c r="K446" s="37"/>
      <c r="L446" s="38" t="str">
        <f aca="false">IF(OR(I446="",K446=""),"",I446-K446)</f>
        <v/>
      </c>
      <c r="M446" s="38" t="str">
        <f aca="false">IF(L446="","",L446-N446)</f>
        <v/>
      </c>
      <c r="N446" s="40" t="str">
        <f aca="false">IF(L446="","",ROUND(L446/6,2))</f>
        <v/>
      </c>
      <c r="O446" s="39" t="str">
        <f aca="false">IF(OR(K446="",K446=0),"",M446/K446)</f>
        <v/>
      </c>
      <c r="P446" s="37"/>
      <c r="Q446" s="37"/>
      <c r="R446" s="37"/>
      <c r="S446" s="37"/>
      <c r="T446" s="37"/>
      <c r="U446" s="37"/>
      <c r="V446" s="37"/>
      <c r="W446" s="37"/>
      <c r="X446" s="37"/>
    </row>
    <row r="447" customFormat="false" ht="21.75" hidden="false" customHeight="true" outlineLevel="0" collapsed="false">
      <c r="A447" s="42"/>
      <c r="B447" s="42"/>
      <c r="C447" s="42"/>
      <c r="D447" s="42"/>
      <c r="E447" s="42"/>
      <c r="F447" s="42"/>
      <c r="G447" s="42"/>
      <c r="H447" s="42"/>
      <c r="I447" s="42"/>
      <c r="J447" s="43" t="str">
        <f aca="false">IF(I447="","",ROUND(I447/1.2,2))</f>
        <v/>
      </c>
      <c r="K447" s="42"/>
      <c r="L447" s="43" t="str">
        <f aca="false">IF(OR(I447="",K447=""),"",I447-K447)</f>
        <v/>
      </c>
      <c r="M447" s="43" t="str">
        <f aca="false">IF(L447="","",L447-N447)</f>
        <v/>
      </c>
      <c r="N447" s="45" t="str">
        <f aca="false">IF(L447="","",ROUND(L447/6,2))</f>
        <v/>
      </c>
      <c r="O447" s="44" t="str">
        <f aca="false">IF(OR(K447="",K447=0),"",M447/K447)</f>
        <v/>
      </c>
      <c r="P447" s="42"/>
      <c r="Q447" s="42"/>
      <c r="R447" s="42"/>
      <c r="S447" s="42"/>
      <c r="T447" s="42"/>
      <c r="U447" s="42"/>
      <c r="V447" s="42"/>
      <c r="W447" s="42"/>
      <c r="X447" s="42"/>
    </row>
    <row r="448" customFormat="false" ht="21.75" hidden="false" customHeight="true" outlineLevel="0" collapsed="false">
      <c r="A448" s="37"/>
      <c r="B448" s="37"/>
      <c r="C448" s="37"/>
      <c r="D448" s="37"/>
      <c r="E448" s="37"/>
      <c r="F448" s="37"/>
      <c r="G448" s="37"/>
      <c r="H448" s="37"/>
      <c r="I448" s="37"/>
      <c r="J448" s="38" t="str">
        <f aca="false">IF(I448="","",ROUND(I448/1.2,2))</f>
        <v/>
      </c>
      <c r="K448" s="37"/>
      <c r="L448" s="38" t="str">
        <f aca="false">IF(OR(I448="",K448=""),"",I448-K448)</f>
        <v/>
      </c>
      <c r="M448" s="38" t="str">
        <f aca="false">IF(L448="","",L448-N448)</f>
        <v/>
      </c>
      <c r="N448" s="40" t="str">
        <f aca="false">IF(L448="","",ROUND(L448/6,2))</f>
        <v/>
      </c>
      <c r="O448" s="39" t="str">
        <f aca="false">IF(OR(K448="",K448=0),"",M448/K448)</f>
        <v/>
      </c>
      <c r="P448" s="37"/>
      <c r="Q448" s="37"/>
      <c r="R448" s="37"/>
      <c r="S448" s="37"/>
      <c r="T448" s="37"/>
      <c r="U448" s="37"/>
      <c r="V448" s="37"/>
      <c r="W448" s="37"/>
      <c r="X448" s="37"/>
    </row>
    <row r="449" customFormat="false" ht="21.75" hidden="false" customHeight="true" outlineLevel="0" collapsed="false">
      <c r="A449" s="42"/>
      <c r="B449" s="42"/>
      <c r="C449" s="42"/>
      <c r="D449" s="42"/>
      <c r="E449" s="42"/>
      <c r="F449" s="42"/>
      <c r="G449" s="42"/>
      <c r="H449" s="42"/>
      <c r="I449" s="42"/>
      <c r="J449" s="43" t="str">
        <f aca="false">IF(I449="","",ROUND(I449/1.2,2))</f>
        <v/>
      </c>
      <c r="K449" s="42"/>
      <c r="L449" s="43" t="str">
        <f aca="false">IF(OR(I449="",K449=""),"",I449-K449)</f>
        <v/>
      </c>
      <c r="M449" s="43" t="str">
        <f aca="false">IF(L449="","",L449-N449)</f>
        <v/>
      </c>
      <c r="N449" s="45" t="str">
        <f aca="false">IF(L449="","",ROUND(L449/6,2))</f>
        <v/>
      </c>
      <c r="O449" s="44" t="str">
        <f aca="false">IF(OR(K449="",K449=0),"",M449/K449)</f>
        <v/>
      </c>
      <c r="P449" s="42"/>
      <c r="Q449" s="42"/>
      <c r="R449" s="42"/>
      <c r="S449" s="42"/>
      <c r="T449" s="42"/>
      <c r="U449" s="42"/>
      <c r="V449" s="42"/>
      <c r="W449" s="42"/>
      <c r="X449" s="42"/>
    </row>
    <row r="450" customFormat="false" ht="21.75" hidden="false" customHeight="true" outlineLevel="0" collapsed="false">
      <c r="A450" s="37"/>
      <c r="B450" s="37"/>
      <c r="C450" s="37"/>
      <c r="D450" s="37"/>
      <c r="E450" s="37"/>
      <c r="F450" s="37"/>
      <c r="G450" s="37"/>
      <c r="H450" s="37"/>
      <c r="I450" s="37"/>
      <c r="J450" s="38" t="str">
        <f aca="false">IF(I450="","",ROUND(I450/1.2,2))</f>
        <v/>
      </c>
      <c r="K450" s="37"/>
      <c r="L450" s="38" t="str">
        <f aca="false">IF(OR(I450="",K450=""),"",I450-K450)</f>
        <v/>
      </c>
      <c r="M450" s="38" t="str">
        <f aca="false">IF(L450="","",L450-N450)</f>
        <v/>
      </c>
      <c r="N450" s="40" t="str">
        <f aca="false">IF(L450="","",ROUND(L450/6,2))</f>
        <v/>
      </c>
      <c r="O450" s="39" t="str">
        <f aca="false">IF(OR(K450="",K450=0),"",M450/K450)</f>
        <v/>
      </c>
      <c r="P450" s="37"/>
      <c r="Q450" s="37"/>
      <c r="R450" s="37"/>
      <c r="S450" s="37"/>
      <c r="T450" s="37"/>
      <c r="U450" s="37"/>
      <c r="V450" s="37"/>
      <c r="W450" s="37"/>
      <c r="X450" s="37"/>
    </row>
    <row r="451" customFormat="false" ht="21.75" hidden="false" customHeight="true" outlineLevel="0" collapsed="false">
      <c r="A451" s="42"/>
      <c r="B451" s="42"/>
      <c r="C451" s="42"/>
      <c r="D451" s="42"/>
      <c r="E451" s="42"/>
      <c r="F451" s="42"/>
      <c r="G451" s="42"/>
      <c r="H451" s="42"/>
      <c r="I451" s="42"/>
      <c r="J451" s="43" t="str">
        <f aca="false">IF(I451="","",ROUND(I451/1.2,2))</f>
        <v/>
      </c>
      <c r="K451" s="42"/>
      <c r="L451" s="43" t="str">
        <f aca="false">IF(OR(I451="",K451=""),"",I451-K451)</f>
        <v/>
      </c>
      <c r="M451" s="43" t="str">
        <f aca="false">IF(L451="","",L451-N451)</f>
        <v/>
      </c>
      <c r="N451" s="45" t="str">
        <f aca="false">IF(L451="","",ROUND(L451/6,2))</f>
        <v/>
      </c>
      <c r="O451" s="44" t="str">
        <f aca="false">IF(OR(K451="",K451=0),"",M451/K451)</f>
        <v/>
      </c>
      <c r="P451" s="42"/>
      <c r="Q451" s="42"/>
      <c r="R451" s="42"/>
      <c r="S451" s="42"/>
      <c r="T451" s="42"/>
      <c r="U451" s="42"/>
      <c r="V451" s="42"/>
      <c r="W451" s="42"/>
      <c r="X451" s="42"/>
    </row>
    <row r="452" customFormat="false" ht="21.75" hidden="false" customHeight="true" outlineLevel="0" collapsed="false">
      <c r="A452" s="37"/>
      <c r="B452" s="37"/>
      <c r="C452" s="37"/>
      <c r="D452" s="37"/>
      <c r="E452" s="37"/>
      <c r="F452" s="37"/>
      <c r="G452" s="37"/>
      <c r="H452" s="37"/>
      <c r="I452" s="37"/>
      <c r="J452" s="38" t="str">
        <f aca="false">IF(I452="","",ROUND(I452/1.2,2))</f>
        <v/>
      </c>
      <c r="K452" s="37"/>
      <c r="L452" s="38" t="str">
        <f aca="false">IF(OR(I452="",K452=""),"",I452-K452)</f>
        <v/>
      </c>
      <c r="M452" s="38" t="str">
        <f aca="false">IF(L452="","",L452-N452)</f>
        <v/>
      </c>
      <c r="N452" s="40" t="str">
        <f aca="false">IF(L452="","",ROUND(L452/6,2))</f>
        <v/>
      </c>
      <c r="O452" s="39" t="str">
        <f aca="false">IF(OR(K452="",K452=0),"",M452/K452)</f>
        <v/>
      </c>
      <c r="P452" s="37"/>
      <c r="Q452" s="37"/>
      <c r="R452" s="37"/>
      <c r="S452" s="37"/>
      <c r="T452" s="37"/>
      <c r="U452" s="37"/>
      <c r="V452" s="37"/>
      <c r="W452" s="37"/>
      <c r="X452" s="37"/>
    </row>
    <row r="453" customFormat="false" ht="21.75" hidden="false" customHeight="true" outlineLevel="0" collapsed="false">
      <c r="A453" s="42"/>
      <c r="B453" s="42"/>
      <c r="C453" s="42"/>
      <c r="D453" s="42"/>
      <c r="E453" s="42"/>
      <c r="F453" s="42"/>
      <c r="G453" s="42"/>
      <c r="H453" s="42"/>
      <c r="I453" s="42"/>
      <c r="J453" s="43" t="str">
        <f aca="false">IF(I453="","",ROUND(I453/1.2,2))</f>
        <v/>
      </c>
      <c r="K453" s="42"/>
      <c r="L453" s="43" t="str">
        <f aca="false">IF(OR(I453="",K453=""),"",I453-K453)</f>
        <v/>
      </c>
      <c r="M453" s="43" t="str">
        <f aca="false">IF(L453="","",L453-N453)</f>
        <v/>
      </c>
      <c r="N453" s="45" t="str">
        <f aca="false">IF(L453="","",ROUND(L453/6,2))</f>
        <v/>
      </c>
      <c r="O453" s="44" t="str">
        <f aca="false">IF(OR(K453="",K453=0),"",M453/K453)</f>
        <v/>
      </c>
      <c r="P453" s="42"/>
      <c r="Q453" s="42"/>
      <c r="R453" s="42"/>
      <c r="S453" s="42"/>
      <c r="T453" s="42"/>
      <c r="U453" s="42"/>
      <c r="V453" s="42"/>
      <c r="W453" s="42"/>
      <c r="X453" s="42"/>
    </row>
    <row r="454" customFormat="false" ht="21.75" hidden="false" customHeight="true" outlineLevel="0" collapsed="false">
      <c r="A454" s="37"/>
      <c r="B454" s="37"/>
      <c r="C454" s="37"/>
      <c r="D454" s="37"/>
      <c r="E454" s="37"/>
      <c r="F454" s="37"/>
      <c r="G454" s="37"/>
      <c r="H454" s="37"/>
      <c r="I454" s="37"/>
      <c r="J454" s="38" t="str">
        <f aca="false">IF(I454="","",ROUND(I454/1.2,2))</f>
        <v/>
      </c>
      <c r="K454" s="37"/>
      <c r="L454" s="38" t="str">
        <f aca="false">IF(OR(I454="",K454=""),"",I454-K454)</f>
        <v/>
      </c>
      <c r="M454" s="38" t="str">
        <f aca="false">IF(L454="","",L454-N454)</f>
        <v/>
      </c>
      <c r="N454" s="40" t="str">
        <f aca="false">IF(L454="","",ROUND(L454/6,2))</f>
        <v/>
      </c>
      <c r="O454" s="39" t="str">
        <f aca="false">IF(OR(K454="",K454=0),"",M454/K454)</f>
        <v/>
      </c>
      <c r="P454" s="37"/>
      <c r="Q454" s="37"/>
      <c r="R454" s="37"/>
      <c r="S454" s="37"/>
      <c r="T454" s="37"/>
      <c r="U454" s="37"/>
      <c r="V454" s="37"/>
      <c r="W454" s="37"/>
      <c r="X454" s="37"/>
    </row>
    <row r="455" customFormat="false" ht="21.75" hidden="false" customHeight="true" outlineLevel="0" collapsed="false">
      <c r="A455" s="42"/>
      <c r="B455" s="42"/>
      <c r="C455" s="42"/>
      <c r="D455" s="42"/>
      <c r="E455" s="42"/>
      <c r="F455" s="42"/>
      <c r="G455" s="42"/>
      <c r="H455" s="42"/>
      <c r="I455" s="42"/>
      <c r="J455" s="43" t="str">
        <f aca="false">IF(I455="","",ROUND(I455/1.2,2))</f>
        <v/>
      </c>
      <c r="K455" s="42"/>
      <c r="L455" s="43" t="str">
        <f aca="false">IF(OR(I455="",K455=""),"",I455-K455)</f>
        <v/>
      </c>
      <c r="M455" s="43" t="str">
        <f aca="false">IF(L455="","",L455-N455)</f>
        <v/>
      </c>
      <c r="N455" s="45" t="str">
        <f aca="false">IF(L455="","",ROUND(L455/6,2))</f>
        <v/>
      </c>
      <c r="O455" s="44" t="str">
        <f aca="false">IF(OR(K455="",K455=0),"",M455/K455)</f>
        <v/>
      </c>
      <c r="P455" s="42"/>
      <c r="Q455" s="42"/>
      <c r="R455" s="42"/>
      <c r="S455" s="42"/>
      <c r="T455" s="42"/>
      <c r="U455" s="42"/>
      <c r="V455" s="42"/>
      <c r="W455" s="42"/>
      <c r="X455" s="42"/>
    </row>
    <row r="456" customFormat="false" ht="21.75" hidden="false" customHeight="true" outlineLevel="0" collapsed="false">
      <c r="A456" s="37"/>
      <c r="B456" s="37"/>
      <c r="C456" s="37"/>
      <c r="D456" s="37"/>
      <c r="E456" s="37"/>
      <c r="F456" s="37"/>
      <c r="G456" s="37"/>
      <c r="H456" s="37"/>
      <c r="I456" s="37"/>
      <c r="J456" s="38" t="str">
        <f aca="false">IF(I456="","",ROUND(I456/1.2,2))</f>
        <v/>
      </c>
      <c r="K456" s="37"/>
      <c r="L456" s="38" t="str">
        <f aca="false">IF(OR(I456="",K456=""),"",I456-K456)</f>
        <v/>
      </c>
      <c r="M456" s="38" t="str">
        <f aca="false">IF(L456="","",L456-N456)</f>
        <v/>
      </c>
      <c r="N456" s="40" t="str">
        <f aca="false">IF(L456="","",ROUND(L456/6,2))</f>
        <v/>
      </c>
      <c r="O456" s="39" t="str">
        <f aca="false">IF(OR(K456="",K456=0),"",M456/K456)</f>
        <v/>
      </c>
      <c r="P456" s="37"/>
      <c r="Q456" s="37"/>
      <c r="R456" s="37"/>
      <c r="S456" s="37"/>
      <c r="T456" s="37"/>
      <c r="U456" s="37"/>
      <c r="V456" s="37"/>
      <c r="W456" s="37"/>
      <c r="X456" s="37"/>
    </row>
    <row r="457" customFormat="false" ht="21.75" hidden="false" customHeight="true" outlineLevel="0" collapsed="false">
      <c r="A457" s="42"/>
      <c r="B457" s="42"/>
      <c r="C457" s="42"/>
      <c r="D457" s="42"/>
      <c r="E457" s="42"/>
      <c r="F457" s="42"/>
      <c r="G457" s="42"/>
      <c r="H457" s="42"/>
      <c r="I457" s="42"/>
      <c r="J457" s="43" t="str">
        <f aca="false">IF(I457="","",ROUND(I457/1.2,2))</f>
        <v/>
      </c>
      <c r="K457" s="42"/>
      <c r="L457" s="43" t="str">
        <f aca="false">IF(OR(I457="",K457=""),"",I457-K457)</f>
        <v/>
      </c>
      <c r="M457" s="43" t="str">
        <f aca="false">IF(L457="","",L457-N457)</f>
        <v/>
      </c>
      <c r="N457" s="45" t="str">
        <f aca="false">IF(L457="","",ROUND(L457/6,2))</f>
        <v/>
      </c>
      <c r="O457" s="44" t="str">
        <f aca="false">IF(OR(K457="",K457=0),"",M457/K457)</f>
        <v/>
      </c>
      <c r="P457" s="42"/>
      <c r="Q457" s="42"/>
      <c r="R457" s="42"/>
      <c r="S457" s="42"/>
      <c r="T457" s="42"/>
      <c r="U457" s="42"/>
      <c r="V457" s="42"/>
      <c r="W457" s="42"/>
      <c r="X457" s="42"/>
    </row>
    <row r="458" customFormat="false" ht="21.75" hidden="false" customHeight="true" outlineLevel="0" collapsed="false">
      <c r="A458" s="37"/>
      <c r="B458" s="37"/>
      <c r="C458" s="37"/>
      <c r="D458" s="37"/>
      <c r="E458" s="37"/>
      <c r="F458" s="37"/>
      <c r="G458" s="37"/>
      <c r="H458" s="37"/>
      <c r="I458" s="37"/>
      <c r="J458" s="38" t="str">
        <f aca="false">IF(I458="","",ROUND(I458/1.2,2))</f>
        <v/>
      </c>
      <c r="K458" s="37"/>
      <c r="L458" s="38" t="str">
        <f aca="false">IF(OR(I458="",K458=""),"",I458-K458)</f>
        <v/>
      </c>
      <c r="M458" s="38" t="str">
        <f aca="false">IF(L458="","",L458-N458)</f>
        <v/>
      </c>
      <c r="N458" s="40" t="str">
        <f aca="false">IF(L458="","",ROUND(L458/6,2))</f>
        <v/>
      </c>
      <c r="O458" s="39" t="str">
        <f aca="false">IF(OR(K458="",K458=0),"",M458/K458)</f>
        <v/>
      </c>
      <c r="P458" s="37"/>
      <c r="Q458" s="37"/>
      <c r="R458" s="37"/>
      <c r="S458" s="37"/>
      <c r="T458" s="37"/>
      <c r="U458" s="37"/>
      <c r="V458" s="37"/>
      <c r="W458" s="37"/>
      <c r="X458" s="37"/>
    </row>
    <row r="459" customFormat="false" ht="21.75" hidden="false" customHeight="true" outlineLevel="0" collapsed="false">
      <c r="A459" s="42"/>
      <c r="B459" s="42"/>
      <c r="C459" s="42"/>
      <c r="D459" s="42"/>
      <c r="E459" s="42"/>
      <c r="F459" s="42"/>
      <c r="G459" s="42"/>
      <c r="H459" s="42"/>
      <c r="I459" s="42"/>
      <c r="J459" s="43" t="str">
        <f aca="false">IF(I459="","",ROUND(I459/1.2,2))</f>
        <v/>
      </c>
      <c r="K459" s="42"/>
      <c r="L459" s="43" t="str">
        <f aca="false">IF(OR(I459="",K459=""),"",I459-K459)</f>
        <v/>
      </c>
      <c r="M459" s="43" t="str">
        <f aca="false">IF(L459="","",L459-N459)</f>
        <v/>
      </c>
      <c r="N459" s="45" t="str">
        <f aca="false">IF(L459="","",ROUND(L459/6,2))</f>
        <v/>
      </c>
      <c r="O459" s="44" t="str">
        <f aca="false">IF(OR(K459="",K459=0),"",M459/K459)</f>
        <v/>
      </c>
      <c r="P459" s="42"/>
      <c r="Q459" s="42"/>
      <c r="R459" s="42"/>
      <c r="S459" s="42"/>
      <c r="T459" s="42"/>
      <c r="U459" s="42"/>
      <c r="V459" s="42"/>
      <c r="W459" s="42"/>
      <c r="X459" s="42"/>
    </row>
    <row r="460" customFormat="false" ht="21.75" hidden="false" customHeight="true" outlineLevel="0" collapsed="false">
      <c r="A460" s="37"/>
      <c r="B460" s="37"/>
      <c r="C460" s="37"/>
      <c r="D460" s="37"/>
      <c r="E460" s="37"/>
      <c r="F460" s="37"/>
      <c r="G460" s="37"/>
      <c r="H460" s="37"/>
      <c r="I460" s="37"/>
      <c r="J460" s="38" t="str">
        <f aca="false">IF(I460="","",ROUND(I460/1.2,2))</f>
        <v/>
      </c>
      <c r="K460" s="37"/>
      <c r="L460" s="38" t="str">
        <f aca="false">IF(OR(I460="",K460=""),"",I460-K460)</f>
        <v/>
      </c>
      <c r="M460" s="38" t="str">
        <f aca="false">IF(L460="","",L460-N460)</f>
        <v/>
      </c>
      <c r="N460" s="40" t="str">
        <f aca="false">IF(L460="","",ROUND(L460/6,2))</f>
        <v/>
      </c>
      <c r="O460" s="39" t="str">
        <f aca="false">IF(OR(K460="",K460=0),"",M460/K460)</f>
        <v/>
      </c>
      <c r="P460" s="37"/>
      <c r="Q460" s="37"/>
      <c r="R460" s="37"/>
      <c r="S460" s="37"/>
      <c r="T460" s="37"/>
      <c r="U460" s="37"/>
      <c r="V460" s="37"/>
      <c r="W460" s="37"/>
      <c r="X460" s="37"/>
    </row>
    <row r="461" customFormat="false" ht="21.75" hidden="false" customHeight="true" outlineLevel="0" collapsed="false">
      <c r="A461" s="42"/>
      <c r="B461" s="42"/>
      <c r="C461" s="42"/>
      <c r="D461" s="42"/>
      <c r="E461" s="42"/>
      <c r="F461" s="42"/>
      <c r="G461" s="42"/>
      <c r="H461" s="42"/>
      <c r="I461" s="42"/>
      <c r="J461" s="43" t="str">
        <f aca="false">IF(I461="","",ROUND(I461/1.2,2))</f>
        <v/>
      </c>
      <c r="K461" s="42"/>
      <c r="L461" s="43" t="str">
        <f aca="false">IF(OR(I461="",K461=""),"",I461-K461)</f>
        <v/>
      </c>
      <c r="M461" s="43" t="str">
        <f aca="false">IF(L461="","",L461-N461)</f>
        <v/>
      </c>
      <c r="N461" s="45" t="str">
        <f aca="false">IF(L461="","",ROUND(L461/6,2))</f>
        <v/>
      </c>
      <c r="O461" s="44" t="str">
        <f aca="false">IF(OR(K461="",K461=0),"",M461/K461)</f>
        <v/>
      </c>
      <c r="P461" s="42"/>
      <c r="Q461" s="42"/>
      <c r="R461" s="42"/>
      <c r="S461" s="42"/>
      <c r="T461" s="42"/>
      <c r="U461" s="42"/>
      <c r="V461" s="42"/>
      <c r="W461" s="42"/>
      <c r="X461" s="42"/>
    </row>
    <row r="462" customFormat="false" ht="21.75" hidden="false" customHeight="true" outlineLevel="0" collapsed="false">
      <c r="A462" s="37"/>
      <c r="B462" s="37"/>
      <c r="C462" s="37"/>
      <c r="D462" s="37"/>
      <c r="E462" s="37"/>
      <c r="F462" s="37"/>
      <c r="G462" s="37"/>
      <c r="H462" s="37"/>
      <c r="I462" s="37"/>
      <c r="J462" s="38" t="str">
        <f aca="false">IF(I462="","",ROUND(I462/1.2,2))</f>
        <v/>
      </c>
      <c r="K462" s="37"/>
      <c r="L462" s="38" t="str">
        <f aca="false">IF(OR(I462="",K462=""),"",I462-K462)</f>
        <v/>
      </c>
      <c r="M462" s="38" t="str">
        <f aca="false">IF(L462="","",L462-N462)</f>
        <v/>
      </c>
      <c r="N462" s="40" t="str">
        <f aca="false">IF(L462="","",ROUND(L462/6,2))</f>
        <v/>
      </c>
      <c r="O462" s="39" t="str">
        <f aca="false">IF(OR(K462="",K462=0),"",M462/K462)</f>
        <v/>
      </c>
      <c r="P462" s="37"/>
      <c r="Q462" s="37"/>
      <c r="R462" s="37"/>
      <c r="S462" s="37"/>
      <c r="T462" s="37"/>
      <c r="U462" s="37"/>
      <c r="V462" s="37"/>
      <c r="W462" s="37"/>
      <c r="X462" s="37"/>
    </row>
    <row r="463" customFormat="false" ht="21.75" hidden="false" customHeight="true" outlineLevel="0" collapsed="false">
      <c r="A463" s="42"/>
      <c r="B463" s="42"/>
      <c r="C463" s="42"/>
      <c r="D463" s="42"/>
      <c r="E463" s="42"/>
      <c r="F463" s="42"/>
      <c r="G463" s="42"/>
      <c r="H463" s="42"/>
      <c r="I463" s="42"/>
      <c r="J463" s="43" t="str">
        <f aca="false">IF(I463="","",ROUND(I463/1.2,2))</f>
        <v/>
      </c>
      <c r="K463" s="42"/>
      <c r="L463" s="43" t="str">
        <f aca="false">IF(OR(I463="",K463=""),"",I463-K463)</f>
        <v/>
      </c>
      <c r="M463" s="43" t="str">
        <f aca="false">IF(L463="","",L463-N463)</f>
        <v/>
      </c>
      <c r="N463" s="45" t="str">
        <f aca="false">IF(L463="","",ROUND(L463/6,2))</f>
        <v/>
      </c>
      <c r="O463" s="44" t="str">
        <f aca="false">IF(OR(K463="",K463=0),"",M463/K463)</f>
        <v/>
      </c>
      <c r="P463" s="42"/>
      <c r="Q463" s="42"/>
      <c r="R463" s="42"/>
      <c r="S463" s="42"/>
      <c r="T463" s="42"/>
      <c r="U463" s="42"/>
      <c r="V463" s="42"/>
      <c r="W463" s="42"/>
      <c r="X463" s="42"/>
    </row>
    <row r="464" customFormat="false" ht="21.75" hidden="false" customHeight="true" outlineLevel="0" collapsed="false">
      <c r="A464" s="37"/>
      <c r="B464" s="37"/>
      <c r="C464" s="37"/>
      <c r="D464" s="37"/>
      <c r="E464" s="37"/>
      <c r="F464" s="37"/>
      <c r="G464" s="37"/>
      <c r="H464" s="37"/>
      <c r="I464" s="37"/>
      <c r="J464" s="38" t="str">
        <f aca="false">IF(I464="","",ROUND(I464/1.2,2))</f>
        <v/>
      </c>
      <c r="K464" s="37"/>
      <c r="L464" s="38" t="str">
        <f aca="false">IF(OR(I464="",K464=""),"",I464-K464)</f>
        <v/>
      </c>
      <c r="M464" s="38" t="str">
        <f aca="false">IF(L464="","",L464-N464)</f>
        <v/>
      </c>
      <c r="N464" s="40" t="str">
        <f aca="false">IF(L464="","",ROUND(L464/6,2))</f>
        <v/>
      </c>
      <c r="O464" s="39" t="str">
        <f aca="false">IF(OR(K464="",K464=0),"",M464/K464)</f>
        <v/>
      </c>
      <c r="P464" s="37"/>
      <c r="Q464" s="37"/>
      <c r="R464" s="37"/>
      <c r="S464" s="37"/>
      <c r="T464" s="37"/>
      <c r="U464" s="37"/>
      <c r="V464" s="37"/>
      <c r="W464" s="37"/>
      <c r="X464" s="37"/>
    </row>
    <row r="465" customFormat="false" ht="21.75" hidden="false" customHeight="true" outlineLevel="0" collapsed="false">
      <c r="A465" s="42"/>
      <c r="B465" s="42"/>
      <c r="C465" s="42"/>
      <c r="D465" s="42"/>
      <c r="E465" s="42"/>
      <c r="F465" s="42"/>
      <c r="G465" s="42"/>
      <c r="H465" s="42"/>
      <c r="I465" s="42"/>
      <c r="J465" s="43" t="str">
        <f aca="false">IF(I465="","",ROUND(I465/1.2,2))</f>
        <v/>
      </c>
      <c r="K465" s="42"/>
      <c r="L465" s="43" t="str">
        <f aca="false">IF(OR(I465="",K465=""),"",I465-K465)</f>
        <v/>
      </c>
      <c r="M465" s="43" t="str">
        <f aca="false">IF(L465="","",L465-N465)</f>
        <v/>
      </c>
      <c r="N465" s="45" t="str">
        <f aca="false">IF(L465="","",ROUND(L465/6,2))</f>
        <v/>
      </c>
      <c r="O465" s="44" t="str">
        <f aca="false">IF(OR(K465="",K465=0),"",M465/K465)</f>
        <v/>
      </c>
      <c r="P465" s="42"/>
      <c r="Q465" s="42"/>
      <c r="R465" s="42"/>
      <c r="S465" s="42"/>
      <c r="T465" s="42"/>
      <c r="U465" s="42"/>
      <c r="V465" s="42"/>
      <c r="W465" s="42"/>
      <c r="X465" s="42"/>
    </row>
    <row r="466" customFormat="false" ht="21.75" hidden="false" customHeight="true" outlineLevel="0" collapsed="false">
      <c r="A466" s="37"/>
      <c r="B466" s="37"/>
      <c r="C466" s="37"/>
      <c r="D466" s="37"/>
      <c r="E466" s="37"/>
      <c r="F466" s="37"/>
      <c r="G466" s="37"/>
      <c r="H466" s="37"/>
      <c r="I466" s="37"/>
      <c r="J466" s="38" t="str">
        <f aca="false">IF(I466="","",ROUND(I466/1.2,2))</f>
        <v/>
      </c>
      <c r="K466" s="37"/>
      <c r="L466" s="38" t="str">
        <f aca="false">IF(OR(I466="",K466=""),"",I466-K466)</f>
        <v/>
      </c>
      <c r="M466" s="38" t="str">
        <f aca="false">IF(L466="","",L466-N466)</f>
        <v/>
      </c>
      <c r="N466" s="40" t="str">
        <f aca="false">IF(L466="","",ROUND(L466/6,2))</f>
        <v/>
      </c>
      <c r="O466" s="39" t="str">
        <f aca="false">IF(OR(K466="",K466=0),"",M466/K466)</f>
        <v/>
      </c>
      <c r="P466" s="37"/>
      <c r="Q466" s="37"/>
      <c r="R466" s="37"/>
      <c r="S466" s="37"/>
      <c r="T466" s="37"/>
      <c r="U466" s="37"/>
      <c r="V466" s="37"/>
      <c r="W466" s="37"/>
      <c r="X466" s="37"/>
    </row>
    <row r="467" customFormat="false" ht="21.75" hidden="false" customHeight="true" outlineLevel="0" collapsed="false">
      <c r="A467" s="42"/>
      <c r="B467" s="42"/>
      <c r="C467" s="42"/>
      <c r="D467" s="42"/>
      <c r="E467" s="42"/>
      <c r="F467" s="42"/>
      <c r="G467" s="42"/>
      <c r="H467" s="42"/>
      <c r="I467" s="42"/>
      <c r="J467" s="43" t="str">
        <f aca="false">IF(I467="","",ROUND(I467/1.2,2))</f>
        <v/>
      </c>
      <c r="K467" s="42"/>
      <c r="L467" s="43" t="str">
        <f aca="false">IF(OR(I467="",K467=""),"",I467-K467)</f>
        <v/>
      </c>
      <c r="M467" s="43" t="str">
        <f aca="false">IF(L467="","",L467-N467)</f>
        <v/>
      </c>
      <c r="N467" s="45" t="str">
        <f aca="false">IF(L467="","",ROUND(L467/6,2))</f>
        <v/>
      </c>
      <c r="O467" s="44" t="str">
        <f aca="false">IF(OR(K467="",K467=0),"",M467/K467)</f>
        <v/>
      </c>
      <c r="P467" s="42"/>
      <c r="Q467" s="42"/>
      <c r="R467" s="42"/>
      <c r="S467" s="42"/>
      <c r="T467" s="42"/>
      <c r="U467" s="42"/>
      <c r="V467" s="42"/>
      <c r="W467" s="42"/>
      <c r="X467" s="42"/>
    </row>
    <row r="468" customFormat="false" ht="21.75" hidden="false" customHeight="true" outlineLevel="0" collapsed="false">
      <c r="A468" s="37"/>
      <c r="B468" s="37"/>
      <c r="C468" s="37"/>
      <c r="D468" s="37"/>
      <c r="E468" s="37"/>
      <c r="F468" s="37"/>
      <c r="G468" s="37"/>
      <c r="H468" s="37"/>
      <c r="I468" s="37"/>
      <c r="J468" s="38" t="str">
        <f aca="false">IF(I468="","",ROUND(I468/1.2,2))</f>
        <v/>
      </c>
      <c r="K468" s="37"/>
      <c r="L468" s="38" t="str">
        <f aca="false">IF(OR(I468="",K468=""),"",I468-K468)</f>
        <v/>
      </c>
      <c r="M468" s="38" t="str">
        <f aca="false">IF(L468="","",L468-N468)</f>
        <v/>
      </c>
      <c r="N468" s="40" t="str">
        <f aca="false">IF(L468="","",ROUND(L468/6,2))</f>
        <v/>
      </c>
      <c r="O468" s="39" t="str">
        <f aca="false">IF(OR(K468="",K468=0),"",M468/K468)</f>
        <v/>
      </c>
      <c r="P468" s="37"/>
      <c r="Q468" s="37"/>
      <c r="R468" s="37"/>
      <c r="S468" s="37"/>
      <c r="T468" s="37"/>
      <c r="U468" s="37"/>
      <c r="V468" s="37"/>
      <c r="W468" s="37"/>
      <c r="X468" s="37"/>
    </row>
    <row r="469" customFormat="false" ht="21.75" hidden="false" customHeight="true" outlineLevel="0" collapsed="false">
      <c r="A469" s="42"/>
      <c r="B469" s="42"/>
      <c r="C469" s="42"/>
      <c r="D469" s="42"/>
      <c r="E469" s="42"/>
      <c r="F469" s="42"/>
      <c r="G469" s="42"/>
      <c r="H469" s="42"/>
      <c r="I469" s="42"/>
      <c r="J469" s="43" t="str">
        <f aca="false">IF(I469="","",ROUND(I469/1.2,2))</f>
        <v/>
      </c>
      <c r="K469" s="42"/>
      <c r="L469" s="43" t="str">
        <f aca="false">IF(OR(I469="",K469=""),"",I469-K469)</f>
        <v/>
      </c>
      <c r="M469" s="43" t="str">
        <f aca="false">IF(L469="","",L469-N469)</f>
        <v/>
      </c>
      <c r="N469" s="45" t="str">
        <f aca="false">IF(L469="","",ROUND(L469/6,2))</f>
        <v/>
      </c>
      <c r="O469" s="44" t="str">
        <f aca="false">IF(OR(K469="",K469=0),"",M469/K469)</f>
        <v/>
      </c>
      <c r="P469" s="42"/>
      <c r="Q469" s="42"/>
      <c r="R469" s="42"/>
      <c r="S469" s="42"/>
      <c r="T469" s="42"/>
      <c r="U469" s="42"/>
      <c r="V469" s="42"/>
      <c r="W469" s="42"/>
      <c r="X469" s="42"/>
    </row>
    <row r="470" customFormat="false" ht="21.75" hidden="false" customHeight="true" outlineLevel="0" collapsed="false">
      <c r="A470" s="37"/>
      <c r="B470" s="37"/>
      <c r="C470" s="37"/>
      <c r="D470" s="37"/>
      <c r="E470" s="37"/>
      <c r="F470" s="37"/>
      <c r="G470" s="37"/>
      <c r="H470" s="37"/>
      <c r="I470" s="37"/>
      <c r="J470" s="38" t="str">
        <f aca="false">IF(I470="","",ROUND(I470/1.2,2))</f>
        <v/>
      </c>
      <c r="K470" s="37"/>
      <c r="L470" s="38" t="str">
        <f aca="false">IF(OR(I470="",K470=""),"",I470-K470)</f>
        <v/>
      </c>
      <c r="M470" s="38" t="str">
        <f aca="false">IF(L470="","",L470-N470)</f>
        <v/>
      </c>
      <c r="N470" s="40" t="str">
        <f aca="false">IF(L470="","",ROUND(L470/6,2))</f>
        <v/>
      </c>
      <c r="O470" s="39" t="str">
        <f aca="false">IF(OR(K470="",K470=0),"",M470/K470)</f>
        <v/>
      </c>
      <c r="P470" s="37"/>
      <c r="Q470" s="37"/>
      <c r="R470" s="37"/>
      <c r="S470" s="37"/>
      <c r="T470" s="37"/>
      <c r="U470" s="37"/>
      <c r="V470" s="37"/>
      <c r="W470" s="37"/>
      <c r="X470" s="37"/>
    </row>
    <row r="471" customFormat="false" ht="21.75" hidden="false" customHeight="true" outlineLevel="0" collapsed="false">
      <c r="A471" s="42"/>
      <c r="B471" s="42"/>
      <c r="C471" s="42"/>
      <c r="D471" s="42"/>
      <c r="E471" s="42"/>
      <c r="F471" s="42"/>
      <c r="G471" s="42"/>
      <c r="H471" s="42"/>
      <c r="I471" s="42"/>
      <c r="J471" s="43" t="str">
        <f aca="false">IF(I471="","",ROUND(I471/1.2,2))</f>
        <v/>
      </c>
      <c r="K471" s="42"/>
      <c r="L471" s="43" t="str">
        <f aca="false">IF(OR(I471="",K471=""),"",I471-K471)</f>
        <v/>
      </c>
      <c r="M471" s="43" t="str">
        <f aca="false">IF(L471="","",L471-N471)</f>
        <v/>
      </c>
      <c r="N471" s="45" t="str">
        <f aca="false">IF(L471="","",ROUND(L471/6,2))</f>
        <v/>
      </c>
      <c r="O471" s="44" t="str">
        <f aca="false">IF(OR(K471="",K471=0),"",M471/K471)</f>
        <v/>
      </c>
      <c r="P471" s="42"/>
      <c r="Q471" s="42"/>
      <c r="R471" s="42"/>
      <c r="S471" s="42"/>
      <c r="T471" s="42"/>
      <c r="U471" s="42"/>
      <c r="V471" s="42"/>
      <c r="W471" s="42"/>
      <c r="X471" s="42"/>
    </row>
    <row r="472" customFormat="false" ht="21.75" hidden="false" customHeight="true" outlineLevel="0" collapsed="false">
      <c r="A472" s="37"/>
      <c r="B472" s="37"/>
      <c r="C472" s="37"/>
      <c r="D472" s="37"/>
      <c r="E472" s="37"/>
      <c r="F472" s="37"/>
      <c r="G472" s="37"/>
      <c r="H472" s="37"/>
      <c r="I472" s="37"/>
      <c r="J472" s="38" t="str">
        <f aca="false">IF(I472="","",ROUND(I472/1.2,2))</f>
        <v/>
      </c>
      <c r="K472" s="37"/>
      <c r="L472" s="38" t="str">
        <f aca="false">IF(OR(I472="",K472=""),"",I472-K472)</f>
        <v/>
      </c>
      <c r="M472" s="38" t="str">
        <f aca="false">IF(L472="","",L472-N472)</f>
        <v/>
      </c>
      <c r="N472" s="40" t="str">
        <f aca="false">IF(L472="","",ROUND(L472/6,2))</f>
        <v/>
      </c>
      <c r="O472" s="39" t="str">
        <f aca="false">IF(OR(K472="",K472=0),"",M472/K472)</f>
        <v/>
      </c>
      <c r="P472" s="37"/>
      <c r="Q472" s="37"/>
      <c r="R472" s="37"/>
      <c r="S472" s="37"/>
      <c r="T472" s="37"/>
      <c r="U472" s="37"/>
      <c r="V472" s="37"/>
      <c r="W472" s="37"/>
      <c r="X472" s="37"/>
    </row>
    <row r="473" customFormat="false" ht="21.75" hidden="false" customHeight="true" outlineLevel="0" collapsed="false">
      <c r="A473" s="42"/>
      <c r="B473" s="42"/>
      <c r="C473" s="42"/>
      <c r="D473" s="42"/>
      <c r="E473" s="42"/>
      <c r="F473" s="42"/>
      <c r="G473" s="42"/>
      <c r="H473" s="42"/>
      <c r="I473" s="42"/>
      <c r="J473" s="43" t="str">
        <f aca="false">IF(I473="","",ROUND(I473/1.2,2))</f>
        <v/>
      </c>
      <c r="K473" s="42"/>
      <c r="L473" s="43" t="str">
        <f aca="false">IF(OR(I473="",K473=""),"",I473-K473)</f>
        <v/>
      </c>
      <c r="M473" s="43" t="str">
        <f aca="false">IF(L473="","",L473-N473)</f>
        <v/>
      </c>
      <c r="N473" s="45" t="str">
        <f aca="false">IF(L473="","",ROUND(L473/6,2))</f>
        <v/>
      </c>
      <c r="O473" s="44" t="str">
        <f aca="false">IF(OR(K473="",K473=0),"",M473/K473)</f>
        <v/>
      </c>
      <c r="P473" s="42"/>
      <c r="Q473" s="42"/>
      <c r="R473" s="42"/>
      <c r="S473" s="42"/>
      <c r="T473" s="42"/>
      <c r="U473" s="42"/>
      <c r="V473" s="42"/>
      <c r="W473" s="42"/>
      <c r="X473" s="42"/>
    </row>
    <row r="474" customFormat="false" ht="21.75" hidden="false" customHeight="true" outlineLevel="0" collapsed="false">
      <c r="A474" s="37"/>
      <c r="B474" s="37"/>
      <c r="C474" s="37"/>
      <c r="D474" s="37"/>
      <c r="E474" s="37"/>
      <c r="F474" s="37"/>
      <c r="G474" s="37"/>
      <c r="H474" s="37"/>
      <c r="I474" s="37"/>
      <c r="J474" s="38" t="str">
        <f aca="false">IF(I474="","",ROUND(I474/1.2,2))</f>
        <v/>
      </c>
      <c r="K474" s="37"/>
      <c r="L474" s="38" t="str">
        <f aca="false">IF(OR(I474="",K474=""),"",I474-K474)</f>
        <v/>
      </c>
      <c r="M474" s="38" t="str">
        <f aca="false">IF(L474="","",L474-N474)</f>
        <v/>
      </c>
      <c r="N474" s="40" t="str">
        <f aca="false">IF(L474="","",ROUND(L474/6,2))</f>
        <v/>
      </c>
      <c r="O474" s="39" t="str">
        <f aca="false">IF(OR(K474="",K474=0),"",M474/K474)</f>
        <v/>
      </c>
      <c r="P474" s="37"/>
      <c r="Q474" s="37"/>
      <c r="R474" s="37"/>
      <c r="S474" s="37"/>
      <c r="T474" s="37"/>
      <c r="U474" s="37"/>
      <c r="V474" s="37"/>
      <c r="W474" s="37"/>
      <c r="X474" s="37"/>
    </row>
    <row r="475" customFormat="false" ht="21.75" hidden="false" customHeight="true" outlineLevel="0" collapsed="false">
      <c r="A475" s="42"/>
      <c r="B475" s="42"/>
      <c r="C475" s="42"/>
      <c r="D475" s="42"/>
      <c r="E475" s="42"/>
      <c r="F475" s="42"/>
      <c r="G475" s="42"/>
      <c r="H475" s="42"/>
      <c r="I475" s="42"/>
      <c r="J475" s="43" t="str">
        <f aca="false">IF(I475="","",ROUND(I475/1.2,2))</f>
        <v/>
      </c>
      <c r="K475" s="42"/>
      <c r="L475" s="43" t="str">
        <f aca="false">IF(OR(I475="",K475=""),"",I475-K475)</f>
        <v/>
      </c>
      <c r="M475" s="43" t="str">
        <f aca="false">IF(L475="","",L475-N475)</f>
        <v/>
      </c>
      <c r="N475" s="45" t="str">
        <f aca="false">IF(L475="","",ROUND(L475/6,2))</f>
        <v/>
      </c>
      <c r="O475" s="44" t="str">
        <f aca="false">IF(OR(K475="",K475=0),"",M475/K475)</f>
        <v/>
      </c>
      <c r="P475" s="42"/>
      <c r="Q475" s="42"/>
      <c r="R475" s="42"/>
      <c r="S475" s="42"/>
      <c r="T475" s="42"/>
      <c r="U475" s="42"/>
      <c r="V475" s="42"/>
      <c r="W475" s="42"/>
      <c r="X475" s="42"/>
    </row>
    <row r="476" customFormat="false" ht="21.75" hidden="false" customHeight="true" outlineLevel="0" collapsed="false">
      <c r="A476" s="37"/>
      <c r="B476" s="37"/>
      <c r="C476" s="37"/>
      <c r="D476" s="37"/>
      <c r="E476" s="37"/>
      <c r="F476" s="37"/>
      <c r="G476" s="37"/>
      <c r="H476" s="37"/>
      <c r="I476" s="37"/>
      <c r="J476" s="38" t="str">
        <f aca="false">IF(I476="","",ROUND(I476/1.2,2))</f>
        <v/>
      </c>
      <c r="K476" s="37"/>
      <c r="L476" s="38" t="str">
        <f aca="false">IF(OR(I476="",K476=""),"",I476-K476)</f>
        <v/>
      </c>
      <c r="M476" s="38" t="str">
        <f aca="false">IF(L476="","",L476-N476)</f>
        <v/>
      </c>
      <c r="N476" s="40" t="str">
        <f aca="false">IF(L476="","",ROUND(L476/6,2))</f>
        <v/>
      </c>
      <c r="O476" s="39" t="str">
        <f aca="false">IF(OR(K476="",K476=0),"",M476/K476)</f>
        <v/>
      </c>
      <c r="P476" s="37"/>
      <c r="Q476" s="37"/>
      <c r="R476" s="37"/>
      <c r="S476" s="37"/>
      <c r="T476" s="37"/>
      <c r="U476" s="37"/>
      <c r="V476" s="37"/>
      <c r="W476" s="37"/>
      <c r="X476" s="37"/>
    </row>
    <row r="477" customFormat="false" ht="21.75" hidden="false" customHeight="true" outlineLevel="0" collapsed="false">
      <c r="A477" s="42"/>
      <c r="B477" s="42"/>
      <c r="C477" s="42"/>
      <c r="D477" s="42"/>
      <c r="E477" s="42"/>
      <c r="F477" s="42"/>
      <c r="G477" s="42"/>
      <c r="H477" s="42"/>
      <c r="I477" s="42"/>
      <c r="J477" s="43" t="str">
        <f aca="false">IF(I477="","",ROUND(I477/1.2,2))</f>
        <v/>
      </c>
      <c r="K477" s="42"/>
      <c r="L477" s="43" t="str">
        <f aca="false">IF(OR(I477="",K477=""),"",I477-K477)</f>
        <v/>
      </c>
      <c r="M477" s="43" t="str">
        <f aca="false">IF(L477="","",L477-N477)</f>
        <v/>
      </c>
      <c r="N477" s="45" t="str">
        <f aca="false">IF(L477="","",ROUND(L477/6,2))</f>
        <v/>
      </c>
      <c r="O477" s="44" t="str">
        <f aca="false">IF(OR(K477="",K477=0),"",M477/K477)</f>
        <v/>
      </c>
      <c r="P477" s="42"/>
      <c r="Q477" s="42"/>
      <c r="R477" s="42"/>
      <c r="S477" s="42"/>
      <c r="T477" s="42"/>
      <c r="U477" s="42"/>
      <c r="V477" s="42"/>
      <c r="W477" s="42"/>
      <c r="X477" s="42"/>
    </row>
    <row r="478" customFormat="false" ht="21.75" hidden="false" customHeight="true" outlineLevel="0" collapsed="false">
      <c r="A478" s="37"/>
      <c r="B478" s="37"/>
      <c r="C478" s="37"/>
      <c r="D478" s="37"/>
      <c r="E478" s="37"/>
      <c r="F478" s="37"/>
      <c r="G478" s="37"/>
      <c r="H478" s="37"/>
      <c r="I478" s="37"/>
      <c r="J478" s="38" t="str">
        <f aca="false">IF(I478="","",ROUND(I478/1.2,2))</f>
        <v/>
      </c>
      <c r="K478" s="37"/>
      <c r="L478" s="38" t="str">
        <f aca="false">IF(OR(I478="",K478=""),"",I478-K478)</f>
        <v/>
      </c>
      <c r="M478" s="38" t="str">
        <f aca="false">IF(L478="","",L478-N478)</f>
        <v/>
      </c>
      <c r="N478" s="40" t="str">
        <f aca="false">IF(L478="","",ROUND(L478/6,2))</f>
        <v/>
      </c>
      <c r="O478" s="39" t="str">
        <f aca="false">IF(OR(K478="",K478=0),"",M478/K478)</f>
        <v/>
      </c>
      <c r="P478" s="37"/>
      <c r="Q478" s="37"/>
      <c r="R478" s="37"/>
      <c r="S478" s="37"/>
      <c r="T478" s="37"/>
      <c r="U478" s="37"/>
      <c r="V478" s="37"/>
      <c r="W478" s="37"/>
      <c r="X478" s="37"/>
    </row>
    <row r="479" customFormat="false" ht="21.75" hidden="false" customHeight="true" outlineLevel="0" collapsed="false">
      <c r="A479" s="42"/>
      <c r="B479" s="42"/>
      <c r="C479" s="42"/>
      <c r="D479" s="42"/>
      <c r="E479" s="42"/>
      <c r="F479" s="42"/>
      <c r="G479" s="42"/>
      <c r="H479" s="42"/>
      <c r="I479" s="42"/>
      <c r="J479" s="43" t="str">
        <f aca="false">IF(I479="","",ROUND(I479/1.2,2))</f>
        <v/>
      </c>
      <c r="K479" s="42"/>
      <c r="L479" s="43" t="str">
        <f aca="false">IF(OR(I479="",K479=""),"",I479-K479)</f>
        <v/>
      </c>
      <c r="M479" s="43" t="str">
        <f aca="false">IF(L479="","",L479-N479)</f>
        <v/>
      </c>
      <c r="N479" s="45" t="str">
        <f aca="false">IF(L479="","",ROUND(L479/6,2))</f>
        <v/>
      </c>
      <c r="O479" s="44" t="str">
        <f aca="false">IF(OR(K479="",K479=0),"",M479/K479)</f>
        <v/>
      </c>
      <c r="P479" s="42"/>
      <c r="Q479" s="42"/>
      <c r="R479" s="42"/>
      <c r="S479" s="42"/>
      <c r="T479" s="42"/>
      <c r="U479" s="42"/>
      <c r="V479" s="42"/>
      <c r="W479" s="42"/>
      <c r="X479" s="42"/>
    </row>
    <row r="480" customFormat="false" ht="21.75" hidden="false" customHeight="true" outlineLevel="0" collapsed="false">
      <c r="A480" s="37"/>
      <c r="B480" s="37"/>
      <c r="C480" s="37"/>
      <c r="D480" s="37"/>
      <c r="E480" s="37"/>
      <c r="F480" s="37"/>
      <c r="G480" s="37"/>
      <c r="H480" s="37"/>
      <c r="I480" s="37"/>
      <c r="J480" s="38" t="str">
        <f aca="false">IF(I480="","",ROUND(I480/1.2,2))</f>
        <v/>
      </c>
      <c r="K480" s="37"/>
      <c r="L480" s="38" t="str">
        <f aca="false">IF(OR(I480="",K480=""),"",I480-K480)</f>
        <v/>
      </c>
      <c r="M480" s="38" t="str">
        <f aca="false">IF(L480="","",L480-N480)</f>
        <v/>
      </c>
      <c r="N480" s="40" t="str">
        <f aca="false">IF(L480="","",ROUND(L480/6,2))</f>
        <v/>
      </c>
      <c r="O480" s="39" t="str">
        <f aca="false">IF(OR(K480="",K480=0),"",M480/K480)</f>
        <v/>
      </c>
      <c r="P480" s="37"/>
      <c r="Q480" s="37"/>
      <c r="R480" s="37"/>
      <c r="S480" s="37"/>
      <c r="T480" s="37"/>
      <c r="U480" s="37"/>
      <c r="V480" s="37"/>
      <c r="W480" s="37"/>
      <c r="X480" s="37"/>
    </row>
    <row r="481" customFormat="false" ht="21.75" hidden="false" customHeight="true" outlineLevel="0" collapsed="false">
      <c r="A481" s="42"/>
      <c r="B481" s="42"/>
      <c r="C481" s="42"/>
      <c r="D481" s="42"/>
      <c r="E481" s="42"/>
      <c r="F481" s="42"/>
      <c r="G481" s="42"/>
      <c r="H481" s="42"/>
      <c r="I481" s="42"/>
      <c r="J481" s="43" t="str">
        <f aca="false">IF(I481="","",ROUND(I481/1.2,2))</f>
        <v/>
      </c>
      <c r="K481" s="42"/>
      <c r="L481" s="43" t="str">
        <f aca="false">IF(OR(I481="",K481=""),"",I481-K481)</f>
        <v/>
      </c>
      <c r="M481" s="43" t="str">
        <f aca="false">IF(L481="","",L481-N481)</f>
        <v/>
      </c>
      <c r="N481" s="45" t="str">
        <f aca="false">IF(L481="","",ROUND(L481/6,2))</f>
        <v/>
      </c>
      <c r="O481" s="44" t="str">
        <f aca="false">IF(OR(K481="",K481=0),"",M481/K481)</f>
        <v/>
      </c>
      <c r="P481" s="42"/>
      <c r="Q481" s="42"/>
      <c r="R481" s="42"/>
      <c r="S481" s="42"/>
      <c r="T481" s="42"/>
      <c r="U481" s="42"/>
      <c r="V481" s="42"/>
      <c r="W481" s="42"/>
      <c r="X481" s="42"/>
    </row>
    <row r="482" customFormat="false" ht="21.75" hidden="false" customHeight="true" outlineLevel="0" collapsed="false">
      <c r="A482" s="37"/>
      <c r="B482" s="37"/>
      <c r="C482" s="37"/>
      <c r="D482" s="37"/>
      <c r="E482" s="37"/>
      <c r="F482" s="37"/>
      <c r="G482" s="37"/>
      <c r="H482" s="37"/>
      <c r="I482" s="37"/>
      <c r="J482" s="38" t="str">
        <f aca="false">IF(I482="","",ROUND(I482/1.2,2))</f>
        <v/>
      </c>
      <c r="K482" s="37"/>
      <c r="L482" s="38" t="str">
        <f aca="false">IF(OR(I482="",K482=""),"",I482-K482)</f>
        <v/>
      </c>
      <c r="M482" s="38" t="str">
        <f aca="false">IF(L482="","",L482-N482)</f>
        <v/>
      </c>
      <c r="N482" s="40" t="str">
        <f aca="false">IF(L482="","",ROUND(L482/6,2))</f>
        <v/>
      </c>
      <c r="O482" s="39" t="str">
        <f aca="false">IF(OR(K482="",K482=0),"",M482/K482)</f>
        <v/>
      </c>
      <c r="P482" s="37"/>
      <c r="Q482" s="37"/>
      <c r="R482" s="37"/>
      <c r="S482" s="37"/>
      <c r="T482" s="37"/>
      <c r="U482" s="37"/>
      <c r="V482" s="37"/>
      <c r="W482" s="37"/>
      <c r="X482" s="37"/>
    </row>
    <row r="483" customFormat="false" ht="21.75" hidden="false" customHeight="true" outlineLevel="0" collapsed="false">
      <c r="A483" s="42"/>
      <c r="B483" s="42"/>
      <c r="C483" s="42"/>
      <c r="D483" s="42"/>
      <c r="E483" s="42"/>
      <c r="F483" s="42"/>
      <c r="G483" s="42"/>
      <c r="H483" s="42"/>
      <c r="I483" s="42"/>
      <c r="J483" s="43" t="str">
        <f aca="false">IF(I483="","",ROUND(I483/1.2,2))</f>
        <v/>
      </c>
      <c r="K483" s="42"/>
      <c r="L483" s="43" t="str">
        <f aca="false">IF(OR(I483="",K483=""),"",I483-K483)</f>
        <v/>
      </c>
      <c r="M483" s="43" t="str">
        <f aca="false">IF(L483="","",L483-N483)</f>
        <v/>
      </c>
      <c r="N483" s="45" t="str">
        <f aca="false">IF(L483="","",ROUND(L483/6,2))</f>
        <v/>
      </c>
      <c r="O483" s="44" t="str">
        <f aca="false">IF(OR(K483="",K483=0),"",M483/K483)</f>
        <v/>
      </c>
      <c r="P483" s="42"/>
      <c r="Q483" s="42"/>
      <c r="R483" s="42"/>
      <c r="S483" s="42"/>
      <c r="T483" s="42"/>
      <c r="U483" s="42"/>
      <c r="V483" s="42"/>
      <c r="W483" s="42"/>
      <c r="X483" s="42"/>
    </row>
    <row r="484" customFormat="false" ht="21.75" hidden="false" customHeight="true" outlineLevel="0" collapsed="false">
      <c r="A484" s="37"/>
      <c r="B484" s="37"/>
      <c r="C484" s="37"/>
      <c r="D484" s="37"/>
      <c r="E484" s="37"/>
      <c r="F484" s="37"/>
      <c r="G484" s="37"/>
      <c r="H484" s="37"/>
      <c r="I484" s="37"/>
      <c r="J484" s="38" t="str">
        <f aca="false">IF(I484="","",ROUND(I484/1.2,2))</f>
        <v/>
      </c>
      <c r="K484" s="37"/>
      <c r="L484" s="38" t="str">
        <f aca="false">IF(OR(I484="",K484=""),"",I484-K484)</f>
        <v/>
      </c>
      <c r="M484" s="38" t="str">
        <f aca="false">IF(L484="","",L484-N484)</f>
        <v/>
      </c>
      <c r="N484" s="40" t="str">
        <f aca="false">IF(L484="","",ROUND(L484/6,2))</f>
        <v/>
      </c>
      <c r="O484" s="39" t="str">
        <f aca="false">IF(OR(K484="",K484=0),"",M484/K484)</f>
        <v/>
      </c>
      <c r="P484" s="37"/>
      <c r="Q484" s="37"/>
      <c r="R484" s="37"/>
      <c r="S484" s="37"/>
      <c r="T484" s="37"/>
      <c r="U484" s="37"/>
      <c r="V484" s="37"/>
      <c r="W484" s="37"/>
      <c r="X484" s="37"/>
    </row>
    <row r="485" customFormat="false" ht="21.75" hidden="false" customHeight="true" outlineLevel="0" collapsed="false">
      <c r="A485" s="42"/>
      <c r="B485" s="42"/>
      <c r="C485" s="42"/>
      <c r="D485" s="42"/>
      <c r="E485" s="42"/>
      <c r="F485" s="42"/>
      <c r="G485" s="42"/>
      <c r="H485" s="42"/>
      <c r="I485" s="42"/>
      <c r="J485" s="43" t="str">
        <f aca="false">IF(I485="","",ROUND(I485/1.2,2))</f>
        <v/>
      </c>
      <c r="K485" s="42"/>
      <c r="L485" s="43" t="str">
        <f aca="false">IF(OR(I485="",K485=""),"",I485-K485)</f>
        <v/>
      </c>
      <c r="M485" s="43" t="str">
        <f aca="false">IF(L485="","",L485-N485)</f>
        <v/>
      </c>
      <c r="N485" s="45" t="str">
        <f aca="false">IF(L485="","",ROUND(L485/6,2))</f>
        <v/>
      </c>
      <c r="O485" s="44" t="str">
        <f aca="false">IF(OR(K485="",K485=0),"",M485/K485)</f>
        <v/>
      </c>
      <c r="P485" s="42"/>
      <c r="Q485" s="42"/>
      <c r="R485" s="42"/>
      <c r="S485" s="42"/>
      <c r="T485" s="42"/>
      <c r="U485" s="42"/>
      <c r="V485" s="42"/>
      <c r="W485" s="42"/>
      <c r="X485" s="42"/>
    </row>
    <row r="486" customFormat="false" ht="21.75" hidden="false" customHeight="true" outlineLevel="0" collapsed="false">
      <c r="A486" s="37"/>
      <c r="B486" s="37"/>
      <c r="C486" s="37"/>
      <c r="D486" s="37"/>
      <c r="E486" s="37"/>
      <c r="F486" s="37"/>
      <c r="G486" s="37"/>
      <c r="H486" s="37"/>
      <c r="I486" s="37"/>
      <c r="J486" s="38" t="str">
        <f aca="false">IF(I486="","",ROUND(I486/1.2,2))</f>
        <v/>
      </c>
      <c r="K486" s="37"/>
      <c r="L486" s="38" t="str">
        <f aca="false">IF(OR(I486="",K486=""),"",I486-K486)</f>
        <v/>
      </c>
      <c r="M486" s="38" t="str">
        <f aca="false">IF(L486="","",L486-N486)</f>
        <v/>
      </c>
      <c r="N486" s="40" t="str">
        <f aca="false">IF(L486="","",ROUND(L486/6,2))</f>
        <v/>
      </c>
      <c r="O486" s="39" t="str">
        <f aca="false">IF(OR(K486="",K486=0),"",M486/K486)</f>
        <v/>
      </c>
      <c r="P486" s="37"/>
      <c r="Q486" s="37"/>
      <c r="R486" s="37"/>
      <c r="S486" s="37"/>
      <c r="T486" s="37"/>
      <c r="U486" s="37"/>
      <c r="V486" s="37"/>
      <c r="W486" s="37"/>
      <c r="X486" s="37"/>
    </row>
    <row r="487" customFormat="false" ht="21.75" hidden="false" customHeight="true" outlineLevel="0" collapsed="false">
      <c r="A487" s="42"/>
      <c r="B487" s="42"/>
      <c r="C487" s="42"/>
      <c r="D487" s="42"/>
      <c r="E487" s="42"/>
      <c r="F487" s="42"/>
      <c r="G487" s="42"/>
      <c r="H487" s="42"/>
      <c r="I487" s="42"/>
      <c r="J487" s="43" t="str">
        <f aca="false">IF(I487="","",ROUND(I487/1.2,2))</f>
        <v/>
      </c>
      <c r="K487" s="42"/>
      <c r="L487" s="43" t="str">
        <f aca="false">IF(OR(I487="",K487=""),"",I487-K487)</f>
        <v/>
      </c>
      <c r="M487" s="43" t="str">
        <f aca="false">IF(L487="","",L487-N487)</f>
        <v/>
      </c>
      <c r="N487" s="45" t="str">
        <f aca="false">IF(L487="","",ROUND(L487/6,2))</f>
        <v/>
      </c>
      <c r="O487" s="44" t="str">
        <f aca="false">IF(OR(K487="",K487=0),"",M487/K487)</f>
        <v/>
      </c>
      <c r="P487" s="42"/>
      <c r="Q487" s="42"/>
      <c r="R487" s="42"/>
      <c r="S487" s="42"/>
      <c r="T487" s="42"/>
      <c r="U487" s="42"/>
      <c r="V487" s="42"/>
      <c r="W487" s="42"/>
      <c r="X487" s="42"/>
    </row>
    <row r="488" customFormat="false" ht="21.75" hidden="false" customHeight="true" outlineLevel="0" collapsed="false">
      <c r="A488" s="37"/>
      <c r="B488" s="37"/>
      <c r="C488" s="37"/>
      <c r="D488" s="37"/>
      <c r="E488" s="37"/>
      <c r="F488" s="37"/>
      <c r="G488" s="37"/>
      <c r="H488" s="37"/>
      <c r="I488" s="37"/>
      <c r="J488" s="38" t="str">
        <f aca="false">IF(I488="","",ROUND(I488/1.2,2))</f>
        <v/>
      </c>
      <c r="K488" s="37"/>
      <c r="L488" s="38" t="str">
        <f aca="false">IF(OR(I488="",K488=""),"",I488-K488)</f>
        <v/>
      </c>
      <c r="M488" s="38" t="str">
        <f aca="false">IF(L488="","",L488-N488)</f>
        <v/>
      </c>
      <c r="N488" s="40" t="str">
        <f aca="false">IF(L488="","",ROUND(L488/6,2))</f>
        <v/>
      </c>
      <c r="O488" s="39" t="str">
        <f aca="false">IF(OR(K488="",K488=0),"",M488/K488)</f>
        <v/>
      </c>
      <c r="P488" s="37"/>
      <c r="Q488" s="37"/>
      <c r="R488" s="37"/>
      <c r="S488" s="37"/>
      <c r="T488" s="37"/>
      <c r="U488" s="37"/>
      <c r="V488" s="37"/>
      <c r="W488" s="37"/>
      <c r="X488" s="37"/>
    </row>
    <row r="489" customFormat="false" ht="21.75" hidden="false" customHeight="true" outlineLevel="0" collapsed="false">
      <c r="A489" s="42"/>
      <c r="B489" s="42"/>
      <c r="C489" s="42"/>
      <c r="D489" s="42"/>
      <c r="E489" s="42"/>
      <c r="F489" s="42"/>
      <c r="G489" s="42"/>
      <c r="H489" s="42"/>
      <c r="I489" s="42"/>
      <c r="J489" s="43" t="str">
        <f aca="false">IF(I489="","",ROUND(I489/1.2,2))</f>
        <v/>
      </c>
      <c r="K489" s="42"/>
      <c r="L489" s="43" t="str">
        <f aca="false">IF(OR(I489="",K489=""),"",I489-K489)</f>
        <v/>
      </c>
      <c r="M489" s="43" t="str">
        <f aca="false">IF(L489="","",L489-N489)</f>
        <v/>
      </c>
      <c r="N489" s="45" t="str">
        <f aca="false">IF(L489="","",ROUND(L489/6,2))</f>
        <v/>
      </c>
      <c r="O489" s="44" t="str">
        <f aca="false">IF(OR(K489="",K489=0),"",M489/K489)</f>
        <v/>
      </c>
      <c r="P489" s="42"/>
      <c r="Q489" s="42"/>
      <c r="R489" s="42"/>
      <c r="S489" s="42"/>
      <c r="T489" s="42"/>
      <c r="U489" s="42"/>
      <c r="V489" s="42"/>
      <c r="W489" s="42"/>
      <c r="X489" s="42"/>
    </row>
    <row r="490" customFormat="false" ht="21.75" hidden="false" customHeight="true" outlineLevel="0" collapsed="false">
      <c r="A490" s="37"/>
      <c r="B490" s="37"/>
      <c r="C490" s="37"/>
      <c r="D490" s="37"/>
      <c r="E490" s="37"/>
      <c r="F490" s="37"/>
      <c r="G490" s="37"/>
      <c r="H490" s="37"/>
      <c r="I490" s="37"/>
      <c r="J490" s="38" t="str">
        <f aca="false">IF(I490="","",ROUND(I490/1.2,2))</f>
        <v/>
      </c>
      <c r="K490" s="37"/>
      <c r="L490" s="38" t="str">
        <f aca="false">IF(OR(I490="",K490=""),"",I490-K490)</f>
        <v/>
      </c>
      <c r="M490" s="38" t="str">
        <f aca="false">IF(L490="","",L490-N490)</f>
        <v/>
      </c>
      <c r="N490" s="40" t="str">
        <f aca="false">IF(L490="","",ROUND(L490/6,2))</f>
        <v/>
      </c>
      <c r="O490" s="39" t="str">
        <f aca="false">IF(OR(K490="",K490=0),"",M490/K490)</f>
        <v/>
      </c>
      <c r="P490" s="37"/>
      <c r="Q490" s="37"/>
      <c r="R490" s="37"/>
      <c r="S490" s="37"/>
      <c r="T490" s="37"/>
      <c r="U490" s="37"/>
      <c r="V490" s="37"/>
      <c r="W490" s="37"/>
      <c r="X490" s="37"/>
    </row>
    <row r="491" customFormat="false" ht="21.75" hidden="false" customHeight="true" outlineLevel="0" collapsed="false">
      <c r="A491" s="42"/>
      <c r="B491" s="42"/>
      <c r="C491" s="42"/>
      <c r="D491" s="42"/>
      <c r="E491" s="42"/>
      <c r="F491" s="42"/>
      <c r="G491" s="42"/>
      <c r="H491" s="42"/>
      <c r="I491" s="42"/>
      <c r="J491" s="43" t="str">
        <f aca="false">IF(I491="","",ROUND(I491/1.2,2))</f>
        <v/>
      </c>
      <c r="K491" s="42"/>
      <c r="L491" s="43" t="str">
        <f aca="false">IF(OR(I491="",K491=""),"",I491-K491)</f>
        <v/>
      </c>
      <c r="M491" s="43" t="str">
        <f aca="false">IF(L491="","",L491-N491)</f>
        <v/>
      </c>
      <c r="N491" s="45" t="str">
        <f aca="false">IF(L491="","",ROUND(L491/6,2))</f>
        <v/>
      </c>
      <c r="O491" s="44" t="str">
        <f aca="false">IF(OR(K491="",K491=0),"",M491/K491)</f>
        <v/>
      </c>
      <c r="P491" s="42"/>
      <c r="Q491" s="42"/>
      <c r="R491" s="42"/>
      <c r="S491" s="42"/>
      <c r="T491" s="42"/>
      <c r="U491" s="42"/>
      <c r="V491" s="42"/>
      <c r="W491" s="42"/>
      <c r="X491" s="42"/>
    </row>
    <row r="492" customFormat="false" ht="21.75" hidden="false" customHeight="true" outlineLevel="0" collapsed="false">
      <c r="A492" s="37"/>
      <c r="B492" s="37"/>
      <c r="C492" s="37"/>
      <c r="D492" s="37"/>
      <c r="E492" s="37"/>
      <c r="F492" s="37"/>
      <c r="G492" s="37"/>
      <c r="H492" s="37"/>
      <c r="I492" s="37"/>
      <c r="J492" s="38" t="str">
        <f aca="false">IF(I492="","",ROUND(I492/1.2,2))</f>
        <v/>
      </c>
      <c r="K492" s="37"/>
      <c r="L492" s="38" t="str">
        <f aca="false">IF(OR(I492="",K492=""),"",I492-K492)</f>
        <v/>
      </c>
      <c r="M492" s="38" t="str">
        <f aca="false">IF(L492="","",L492-N492)</f>
        <v/>
      </c>
      <c r="N492" s="40" t="str">
        <f aca="false">IF(L492="","",ROUND(L492/6,2))</f>
        <v/>
      </c>
      <c r="O492" s="39" t="str">
        <f aca="false">IF(OR(K492="",K492=0),"",M492/K492)</f>
        <v/>
      </c>
      <c r="P492" s="37"/>
      <c r="Q492" s="37"/>
      <c r="R492" s="37"/>
      <c r="S492" s="37"/>
      <c r="T492" s="37"/>
      <c r="U492" s="37"/>
      <c r="V492" s="37"/>
      <c r="W492" s="37"/>
      <c r="X492" s="37"/>
    </row>
    <row r="493" customFormat="false" ht="21.75" hidden="false" customHeight="true" outlineLevel="0" collapsed="false">
      <c r="A493" s="42"/>
      <c r="B493" s="42"/>
      <c r="C493" s="42"/>
      <c r="D493" s="42"/>
      <c r="E493" s="42"/>
      <c r="F493" s="42"/>
      <c r="G493" s="42"/>
      <c r="H493" s="42"/>
      <c r="I493" s="42"/>
      <c r="J493" s="43" t="str">
        <f aca="false">IF(I493="","",ROUND(I493/1.2,2))</f>
        <v/>
      </c>
      <c r="K493" s="42"/>
      <c r="L493" s="43" t="str">
        <f aca="false">IF(OR(I493="",K493=""),"",I493-K493)</f>
        <v/>
      </c>
      <c r="M493" s="43" t="str">
        <f aca="false">IF(L493="","",L493-N493)</f>
        <v/>
      </c>
      <c r="N493" s="45" t="str">
        <f aca="false">IF(L493="","",ROUND(L493/6,2))</f>
        <v/>
      </c>
      <c r="O493" s="44" t="str">
        <f aca="false">IF(OR(K493="",K493=0),"",M493/K493)</f>
        <v/>
      </c>
      <c r="P493" s="42"/>
      <c r="Q493" s="42"/>
      <c r="R493" s="42"/>
      <c r="S493" s="42"/>
      <c r="T493" s="42"/>
      <c r="U493" s="42"/>
      <c r="V493" s="42"/>
      <c r="W493" s="42"/>
      <c r="X493" s="42"/>
    </row>
    <row r="494" customFormat="false" ht="21.75" hidden="false" customHeight="true" outlineLevel="0" collapsed="false">
      <c r="A494" s="37"/>
      <c r="B494" s="37"/>
      <c r="C494" s="37"/>
      <c r="D494" s="37"/>
      <c r="E494" s="37"/>
      <c r="F494" s="37"/>
      <c r="G494" s="37"/>
      <c r="H494" s="37"/>
      <c r="I494" s="37"/>
      <c r="J494" s="38" t="str">
        <f aca="false">IF(I494="","",ROUND(I494/1.2,2))</f>
        <v/>
      </c>
      <c r="K494" s="37"/>
      <c r="L494" s="38" t="str">
        <f aca="false">IF(OR(I494="",K494=""),"",I494-K494)</f>
        <v/>
      </c>
      <c r="M494" s="38" t="str">
        <f aca="false">IF(L494="","",L494-N494)</f>
        <v/>
      </c>
      <c r="N494" s="40" t="str">
        <f aca="false">IF(L494="","",ROUND(L494/6,2))</f>
        <v/>
      </c>
      <c r="O494" s="39" t="str">
        <f aca="false">IF(OR(K494="",K494=0),"",M494/K494)</f>
        <v/>
      </c>
      <c r="P494" s="37"/>
      <c r="Q494" s="37"/>
      <c r="R494" s="37"/>
      <c r="S494" s="37"/>
      <c r="T494" s="37"/>
      <c r="U494" s="37"/>
      <c r="V494" s="37"/>
      <c r="W494" s="37"/>
      <c r="X494" s="37"/>
    </row>
    <row r="495" customFormat="false" ht="21.75" hidden="false" customHeight="true" outlineLevel="0" collapsed="false">
      <c r="A495" s="42"/>
      <c r="B495" s="42"/>
      <c r="C495" s="42"/>
      <c r="D495" s="42"/>
      <c r="E495" s="42"/>
      <c r="F495" s="42"/>
      <c r="G495" s="42"/>
      <c r="H495" s="42"/>
      <c r="I495" s="42"/>
      <c r="J495" s="43" t="str">
        <f aca="false">IF(I495="","",ROUND(I495/1.2,2))</f>
        <v/>
      </c>
      <c r="K495" s="42"/>
      <c r="L495" s="43" t="str">
        <f aca="false">IF(OR(I495="",K495=""),"",I495-K495)</f>
        <v/>
      </c>
      <c r="M495" s="43" t="str">
        <f aca="false">IF(L495="","",L495-N495)</f>
        <v/>
      </c>
      <c r="N495" s="45" t="str">
        <f aca="false">IF(L495="","",ROUND(L495/6,2))</f>
        <v/>
      </c>
      <c r="O495" s="44" t="str">
        <f aca="false">IF(OR(K495="",K495=0),"",M495/K495)</f>
        <v/>
      </c>
      <c r="P495" s="42"/>
      <c r="Q495" s="42"/>
      <c r="R495" s="42"/>
      <c r="S495" s="42"/>
      <c r="T495" s="42"/>
      <c r="U495" s="42"/>
      <c r="V495" s="42"/>
      <c r="W495" s="42"/>
      <c r="X495" s="42"/>
    </row>
    <row r="496" customFormat="false" ht="21.75" hidden="false" customHeight="true" outlineLevel="0" collapsed="false">
      <c r="A496" s="37"/>
      <c r="B496" s="37"/>
      <c r="C496" s="37"/>
      <c r="D496" s="37"/>
      <c r="E496" s="37"/>
      <c r="F496" s="37"/>
      <c r="G496" s="37"/>
      <c r="H496" s="37"/>
      <c r="I496" s="37"/>
      <c r="J496" s="38" t="str">
        <f aca="false">IF(I496="","",ROUND(I496/1.2,2))</f>
        <v/>
      </c>
      <c r="K496" s="37"/>
      <c r="L496" s="38" t="str">
        <f aca="false">IF(OR(I496="",K496=""),"",I496-K496)</f>
        <v/>
      </c>
      <c r="M496" s="38" t="str">
        <f aca="false">IF(L496="","",L496-N496)</f>
        <v/>
      </c>
      <c r="N496" s="40" t="str">
        <f aca="false">IF(L496="","",ROUND(L496/6,2))</f>
        <v/>
      </c>
      <c r="O496" s="39" t="str">
        <f aca="false">IF(OR(K496="",K496=0),"",M496/K496)</f>
        <v/>
      </c>
      <c r="P496" s="37"/>
      <c r="Q496" s="37"/>
      <c r="R496" s="37"/>
      <c r="S496" s="37"/>
      <c r="T496" s="37"/>
      <c r="U496" s="37"/>
      <c r="V496" s="37"/>
      <c r="W496" s="37"/>
      <c r="X496" s="37"/>
    </row>
    <row r="497" customFormat="false" ht="21.75" hidden="false" customHeight="true" outlineLevel="0" collapsed="false">
      <c r="A497" s="42"/>
      <c r="B497" s="42"/>
      <c r="C497" s="42"/>
      <c r="D497" s="42"/>
      <c r="E497" s="42"/>
      <c r="F497" s="42"/>
      <c r="G497" s="42"/>
      <c r="H497" s="42"/>
      <c r="I497" s="42"/>
      <c r="J497" s="43" t="str">
        <f aca="false">IF(I497="","",ROUND(I497/1.2,2))</f>
        <v/>
      </c>
      <c r="K497" s="42"/>
      <c r="L497" s="43" t="str">
        <f aca="false">IF(OR(I497="",K497=""),"",I497-K497)</f>
        <v/>
      </c>
      <c r="M497" s="43" t="str">
        <f aca="false">IF(L497="","",L497-N497)</f>
        <v/>
      </c>
      <c r="N497" s="45" t="str">
        <f aca="false">IF(L497="","",ROUND(L497/6,2))</f>
        <v/>
      </c>
      <c r="O497" s="44" t="str">
        <f aca="false">IF(OR(K497="",K497=0),"",M497/K497)</f>
        <v/>
      </c>
      <c r="P497" s="42"/>
      <c r="Q497" s="42"/>
      <c r="R497" s="42"/>
      <c r="S497" s="42"/>
      <c r="T497" s="42"/>
      <c r="U497" s="42"/>
      <c r="V497" s="42"/>
      <c r="W497" s="42"/>
      <c r="X497" s="42"/>
    </row>
    <row r="498" customFormat="false" ht="21.75" hidden="false" customHeight="true" outlineLevel="0" collapsed="false">
      <c r="A498" s="37"/>
      <c r="B498" s="37"/>
      <c r="C498" s="37"/>
      <c r="D498" s="37"/>
      <c r="E498" s="37"/>
      <c r="F498" s="37"/>
      <c r="G498" s="37"/>
      <c r="H498" s="37"/>
      <c r="I498" s="37"/>
      <c r="J498" s="38" t="str">
        <f aca="false">IF(I498="","",ROUND(I498/1.2,2))</f>
        <v/>
      </c>
      <c r="K498" s="37"/>
      <c r="L498" s="38" t="str">
        <f aca="false">IF(OR(I498="",K498=""),"",I498-K498)</f>
        <v/>
      </c>
      <c r="M498" s="38" t="str">
        <f aca="false">IF(L498="","",L498-N498)</f>
        <v/>
      </c>
      <c r="N498" s="40" t="str">
        <f aca="false">IF(L498="","",ROUND(L498/6,2))</f>
        <v/>
      </c>
      <c r="O498" s="39" t="str">
        <f aca="false">IF(OR(K498="",K498=0),"",M498/K498)</f>
        <v/>
      </c>
      <c r="P498" s="37"/>
      <c r="Q498" s="37"/>
      <c r="R498" s="37"/>
      <c r="S498" s="37"/>
      <c r="T498" s="37"/>
      <c r="U498" s="37"/>
      <c r="V498" s="37"/>
      <c r="W498" s="37"/>
      <c r="X498" s="37"/>
    </row>
    <row r="499" customFormat="false" ht="21.75" hidden="false" customHeight="true" outlineLevel="0" collapsed="false">
      <c r="A499" s="42"/>
      <c r="B499" s="42"/>
      <c r="C499" s="42"/>
      <c r="D499" s="42"/>
      <c r="E499" s="42"/>
      <c r="F499" s="42"/>
      <c r="G499" s="42"/>
      <c r="H499" s="42"/>
      <c r="I499" s="42"/>
      <c r="J499" s="43" t="str">
        <f aca="false">IF(I499="","",ROUND(I499/1.2,2))</f>
        <v/>
      </c>
      <c r="K499" s="42"/>
      <c r="L499" s="43" t="str">
        <f aca="false">IF(OR(I499="",K499=""),"",I499-K499)</f>
        <v/>
      </c>
      <c r="M499" s="43" t="str">
        <f aca="false">IF(L499="","",L499-N499)</f>
        <v/>
      </c>
      <c r="N499" s="45" t="str">
        <f aca="false">IF(L499="","",ROUND(L499/6,2))</f>
        <v/>
      </c>
      <c r="O499" s="44" t="str">
        <f aca="false">IF(OR(K499="",K499=0),"",M499/K499)</f>
        <v/>
      </c>
      <c r="P499" s="42"/>
      <c r="Q499" s="42"/>
      <c r="R499" s="42"/>
      <c r="S499" s="42"/>
      <c r="T499" s="42"/>
      <c r="U499" s="42"/>
      <c r="V499" s="42"/>
      <c r="W499" s="42"/>
      <c r="X499" s="42"/>
    </row>
    <row r="500" customFormat="false" ht="21.75" hidden="false" customHeight="true" outlineLevel="0" collapsed="false">
      <c r="A500" s="37"/>
      <c r="B500" s="37"/>
      <c r="C500" s="37"/>
      <c r="D500" s="37"/>
      <c r="E500" s="37"/>
      <c r="F500" s="37"/>
      <c r="G500" s="37"/>
      <c r="H500" s="37"/>
      <c r="I500" s="37"/>
      <c r="J500" s="38" t="str">
        <f aca="false">IF(I500="","",ROUND(I500/1.2,2))</f>
        <v/>
      </c>
      <c r="K500" s="37"/>
      <c r="L500" s="38" t="str">
        <f aca="false">IF(OR(I500="",K500=""),"",I500-K500)</f>
        <v/>
      </c>
      <c r="M500" s="38" t="str">
        <f aca="false">IF(L500="","",L500-N500)</f>
        <v/>
      </c>
      <c r="N500" s="40" t="str">
        <f aca="false">IF(L500="","",ROUND(L500/6,2))</f>
        <v/>
      </c>
      <c r="O500" s="39" t="str">
        <f aca="false">IF(OR(K500="",K500=0),"",M500/K500)</f>
        <v/>
      </c>
      <c r="P500" s="37"/>
      <c r="Q500" s="37"/>
      <c r="R500" s="37"/>
      <c r="S500" s="37"/>
      <c r="T500" s="37"/>
      <c r="U500" s="37"/>
      <c r="V500" s="37"/>
      <c r="W500" s="37"/>
      <c r="X500" s="37"/>
    </row>
    <row r="501" customFormat="false" ht="21.75" hidden="false" customHeight="true" outlineLevel="0" collapsed="false">
      <c r="A501" s="42"/>
      <c r="B501" s="42"/>
      <c r="C501" s="42"/>
      <c r="D501" s="42"/>
      <c r="E501" s="42"/>
      <c r="F501" s="42"/>
      <c r="G501" s="42"/>
      <c r="H501" s="42"/>
      <c r="I501" s="42"/>
      <c r="J501" s="43" t="str">
        <f aca="false">IF(I501="","",ROUND(I501/1.2,2))</f>
        <v/>
      </c>
      <c r="K501" s="42"/>
      <c r="L501" s="43" t="str">
        <f aca="false">IF(OR(I501="",K501=""),"",I501-K501)</f>
        <v/>
      </c>
      <c r="M501" s="43" t="str">
        <f aca="false">IF(L501="","",L501-N501)</f>
        <v/>
      </c>
      <c r="N501" s="45" t="str">
        <f aca="false">IF(L501="","",ROUND(L501/6,2))</f>
        <v/>
      </c>
      <c r="O501" s="44" t="str">
        <f aca="false">IF(OR(K501="",K501=0),"",M501/K501)</f>
        <v/>
      </c>
      <c r="P501" s="42"/>
      <c r="Q501" s="42"/>
      <c r="R501" s="42"/>
      <c r="S501" s="42"/>
      <c r="T501" s="42"/>
      <c r="U501" s="42"/>
      <c r="V501" s="42"/>
      <c r="W501" s="42"/>
      <c r="X501" s="42"/>
    </row>
  </sheetData>
  <conditionalFormatting sqref="M2:M5001">
    <cfRule type="cellIs" priority="2" operator="lessThan" aboveAverage="0" equalAverage="0" bottom="0" percent="0" rank="0" text="" dxfId="7">
      <formula>0</formula>
    </cfRule>
  </conditionalFormatting>
  <conditionalFormatting sqref="O2:O5001">
    <cfRule type="cellIs" priority="3" operator="greaterThan" aboveAverage="0" equalAverage="0" bottom="0" percent="0" rank="0" text="" dxfId="0">
      <formula>0.15</formula>
    </cfRule>
  </conditionalFormatting>
  <dataValidations count="2">
    <dataValidation allowBlank="false" errorStyle="stop" operator="between" showDropDown="false" showErrorMessage="false" showInputMessage="false" sqref="P2:P1501" type="list">
      <formula1>"Chèque,Virement,Espèces,Financement,Mixte"</formula1>
      <formula2>0</formula2>
    </dataValidation>
    <dataValidation allowBlank="false" errorStyle="stop" operator="between" showDropDown="false" showErrorMessage="false" showInputMessage="false" sqref="V2:V1501" type="list">
      <formula1>"Bon de commande,Acompte reçu,Payé,Livré,Annulé"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B703"/>
    <pageSetUpPr fitToPage="false"/>
  </sheetPr>
  <dimension ref="A1:T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3"/>
    <col collapsed="false" customWidth="true" hidden="false" outlineLevel="0" max="4" min="3" style="1" width="18"/>
    <col collapsed="false" customWidth="true" hidden="false" outlineLevel="0" max="5" min="5" style="1" width="14"/>
    <col collapsed="false" customWidth="true" hidden="false" outlineLevel="0" max="7" min="6" style="1" width="13"/>
    <col collapsed="false" customWidth="true" hidden="false" outlineLevel="0" max="8" min="8" style="1" width="16"/>
    <col collapsed="false" customWidth="true" hidden="false" outlineLevel="0" max="9" min="9" style="1" width="14"/>
    <col collapsed="false" customWidth="true" hidden="false" outlineLevel="0" max="10" min="10" style="1" width="12"/>
    <col collapsed="false" customWidth="true" hidden="false" outlineLevel="0" max="11" min="11" style="1" width="11"/>
    <col collapsed="false" customWidth="true" hidden="false" outlineLevel="0" max="12" min="12" style="1" width="10"/>
    <col collapsed="false" customWidth="true" hidden="false" outlineLevel="0" max="13" min="13" style="1" width="11"/>
    <col collapsed="false" customWidth="true" hidden="false" outlineLevel="0" max="15" min="14" style="1" width="16"/>
    <col collapsed="false" customWidth="true" hidden="false" outlineLevel="0" max="16" min="16" style="1" width="15"/>
    <col collapsed="false" customWidth="true" hidden="false" outlineLevel="0" max="17" min="17" style="1" width="24"/>
    <col collapsed="false" customWidth="true" hidden="false" outlineLevel="0" max="19" min="18" style="1" width="12"/>
    <col collapsed="false" customWidth="true" hidden="false" outlineLevel="0" max="20" min="20" style="1" width="26"/>
  </cols>
  <sheetData>
    <row r="1" customFormat="false" ht="37.5" hidden="false" customHeight="true" outlineLevel="0" collapsed="false">
      <c r="A1" s="50" t="s">
        <v>29</v>
      </c>
      <c r="B1" s="50" t="s">
        <v>30</v>
      </c>
      <c r="C1" s="50" t="s">
        <v>110</v>
      </c>
      <c r="D1" s="50" t="s">
        <v>31</v>
      </c>
      <c r="E1" s="50" t="s">
        <v>111</v>
      </c>
      <c r="F1" s="50" t="s">
        <v>112</v>
      </c>
      <c r="G1" s="50" t="s">
        <v>113</v>
      </c>
      <c r="H1" s="50" t="s">
        <v>114</v>
      </c>
      <c r="I1" s="50" t="s">
        <v>115</v>
      </c>
      <c r="J1" s="50" t="s">
        <v>116</v>
      </c>
      <c r="K1" s="50" t="s">
        <v>117</v>
      </c>
      <c r="L1" s="50" t="s">
        <v>118</v>
      </c>
      <c r="M1" s="50" t="s">
        <v>119</v>
      </c>
      <c r="N1" s="50" t="s">
        <v>120</v>
      </c>
      <c r="O1" s="50" t="s">
        <v>121</v>
      </c>
      <c r="P1" s="49" t="s">
        <v>122</v>
      </c>
      <c r="Q1" s="50" t="s">
        <v>123</v>
      </c>
      <c r="R1" s="50" t="s">
        <v>50</v>
      </c>
      <c r="S1" s="50" t="s">
        <v>124</v>
      </c>
      <c r="T1" s="50" t="s">
        <v>125</v>
      </c>
    </row>
    <row r="2" customFormat="false" ht="21.75" hidden="false" customHeight="true" outlineLevel="0" collapsed="false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51" t="str">
        <f aca="true">IF(OR(R2="",R2=0),"",EDATE(TODAY(),R2))</f>
        <v/>
      </c>
      <c r="T2" s="37"/>
    </row>
    <row r="3" customFormat="false" ht="21.75" hidden="false" customHeight="true" outlineLevel="0" collapsed="false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52" t="str">
        <f aca="true">IF(OR(R3="",R3=0),"",EDATE(TODAY(),R3))</f>
        <v/>
      </c>
      <c r="T3" s="42"/>
    </row>
    <row r="4" customFormat="false" ht="21.75" hidden="false" customHeight="true" outlineLevel="0" collapsed="false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51" t="str">
        <f aca="true">IF(OR(R4="",R4=0),"",EDATE(TODAY(),R4))</f>
        <v/>
      </c>
      <c r="T4" s="37"/>
    </row>
    <row r="5" customFormat="false" ht="21.75" hidden="false" customHeight="true" outlineLevel="0" collapsed="false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52" t="str">
        <f aca="true">IF(OR(R5="",R5=0),"",EDATE(TODAY(),R5))</f>
        <v/>
      </c>
      <c r="T5" s="42"/>
    </row>
    <row r="6" customFormat="false" ht="21.75" hidden="false" customHeight="true" outlineLevel="0" collapsed="false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51" t="str">
        <f aca="true">IF(OR(R6="",R6=0),"",EDATE(TODAY(),R6))</f>
        <v/>
      </c>
      <c r="T6" s="37"/>
    </row>
    <row r="7" customFormat="false" ht="21.75" hidden="false" customHeight="true" outlineLevel="0" collapsed="false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52" t="str">
        <f aca="true">IF(OR(R7="",R7=0),"",EDATE(TODAY(),R7))</f>
        <v/>
      </c>
      <c r="T7" s="42"/>
    </row>
    <row r="8" customFormat="false" ht="21.75" hidden="false" customHeight="true" outlineLevel="0" collapsed="false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51" t="str">
        <f aca="true">IF(OR(R8="",R8=0),"",EDATE(TODAY(),R8))</f>
        <v/>
      </c>
      <c r="T8" s="37"/>
    </row>
    <row r="9" customFormat="false" ht="21.75" hidden="false" customHeight="true" outlineLevel="0" collapsed="false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52" t="str">
        <f aca="true">IF(OR(R9="",R9=0),"",EDATE(TODAY(),R9))</f>
        <v/>
      </c>
      <c r="T9" s="42"/>
    </row>
    <row r="10" customFormat="false" ht="21.75" hidden="false" customHeight="true" outlineLevel="0" collapsed="false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51" t="str">
        <f aca="true">IF(OR(R10="",R10=0),"",EDATE(TODAY(),R10))</f>
        <v/>
      </c>
      <c r="T10" s="37"/>
    </row>
    <row r="11" customFormat="false" ht="21.75" hidden="false" customHeight="true" outlineLevel="0" collapsed="false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52" t="str">
        <f aca="true">IF(OR(R11="",R11=0),"",EDATE(TODAY(),R11))</f>
        <v/>
      </c>
      <c r="T11" s="42"/>
    </row>
    <row r="12" customFormat="false" ht="21.75" hidden="false" customHeight="true" outlineLevel="0" collapsed="false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51" t="str">
        <f aca="true">IF(OR(R12="",R12=0),"",EDATE(TODAY(),R12))</f>
        <v/>
      </c>
      <c r="T12" s="37"/>
    </row>
    <row r="13" customFormat="false" ht="21.75" hidden="false" customHeight="true" outlineLevel="0" collapsed="false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52" t="str">
        <f aca="true">IF(OR(R13="",R13=0),"",EDATE(TODAY(),R13))</f>
        <v/>
      </c>
      <c r="T13" s="42"/>
    </row>
    <row r="14" customFormat="false" ht="21.75" hidden="false" customHeight="true" outlineLevel="0" collapsed="false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51" t="str">
        <f aca="true">IF(OR(R14="",R14=0),"",EDATE(TODAY(),R14))</f>
        <v/>
      </c>
      <c r="T14" s="37"/>
    </row>
    <row r="15" customFormat="false" ht="21.75" hidden="false" customHeight="true" outlineLevel="0" collapsed="false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52" t="str">
        <f aca="true">IF(OR(R15="",R15=0),"",EDATE(TODAY(),R15))</f>
        <v/>
      </c>
      <c r="T15" s="42"/>
    </row>
    <row r="16" customFormat="false" ht="21.75" hidden="false" customHeight="true" outlineLevel="0" collapsed="false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51" t="str">
        <f aca="true">IF(OR(R16="",R16=0),"",EDATE(TODAY(),R16))</f>
        <v/>
      </c>
      <c r="T16" s="37"/>
    </row>
    <row r="17" customFormat="false" ht="21.7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52" t="str">
        <f aca="true">IF(OR(R17="",R17=0),"",EDATE(TODAY(),R17))</f>
        <v/>
      </c>
      <c r="T17" s="42"/>
    </row>
    <row r="18" customFormat="false" ht="21.75" hidden="false" customHeight="true" outlineLevel="0" collapsed="false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51" t="str">
        <f aca="true">IF(OR(R18="",R18=0),"",EDATE(TODAY(),R18))</f>
        <v/>
      </c>
      <c r="T18" s="37"/>
    </row>
    <row r="19" customFormat="false" ht="21.7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52" t="str">
        <f aca="true">IF(OR(R19="",R19=0),"",EDATE(TODAY(),R19))</f>
        <v/>
      </c>
      <c r="T19" s="42"/>
    </row>
    <row r="20" customFormat="false" ht="21.75" hidden="false" customHeight="true" outlineLevel="0" collapsed="false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51" t="str">
        <f aca="true">IF(OR(R20="",R20=0),"",EDATE(TODAY(),R20))</f>
        <v/>
      </c>
      <c r="T20" s="37"/>
    </row>
    <row r="21" customFormat="false" ht="21.75" hidden="false" customHeight="true" outlineLevel="0" collapsed="false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52" t="str">
        <f aca="true">IF(OR(R21="",R21=0),"",EDATE(TODAY(),R21))</f>
        <v/>
      </c>
      <c r="T21" s="42"/>
    </row>
    <row r="22" customFormat="false" ht="21.75" hidden="false" customHeight="true" outlineLevel="0" collapsed="false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51" t="str">
        <f aca="true">IF(OR(R22="",R22=0),"",EDATE(TODAY(),R22))</f>
        <v/>
      </c>
      <c r="T22" s="37"/>
    </row>
    <row r="23" customFormat="false" ht="21.75" hidden="false" customHeight="true" outlineLevel="0" collapsed="false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52" t="str">
        <f aca="true">IF(OR(R23="",R23=0),"",EDATE(TODAY(),R23))</f>
        <v/>
      </c>
      <c r="T23" s="42"/>
    </row>
    <row r="24" customFormat="false" ht="21.75" hidden="false" customHeight="true" outlineLevel="0" collapsed="false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51" t="str">
        <f aca="true">IF(OR(R24="",R24=0),"",EDATE(TODAY(),R24))</f>
        <v/>
      </c>
      <c r="T24" s="37"/>
    </row>
    <row r="25" customFormat="false" ht="21.75" hidden="false" customHeight="true" outlineLevel="0" collapsed="false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52" t="str">
        <f aca="true">IF(OR(R25="",R25=0),"",EDATE(TODAY(),R25))</f>
        <v/>
      </c>
      <c r="T25" s="42"/>
    </row>
    <row r="26" customFormat="false" ht="21.75" hidden="false" customHeight="true" outlineLevel="0" collapsed="false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51" t="str">
        <f aca="true">IF(OR(R26="",R26=0),"",EDATE(TODAY(),R26))</f>
        <v/>
      </c>
      <c r="T26" s="37"/>
    </row>
    <row r="27" customFormat="false" ht="21.75" hidden="false" customHeight="true" outlineLevel="0" collapsed="false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52" t="str">
        <f aca="true">IF(OR(R27="",R27=0),"",EDATE(TODAY(),R27))</f>
        <v/>
      </c>
      <c r="T27" s="42"/>
    </row>
    <row r="28" customFormat="false" ht="21.75" hidden="false" customHeight="true" outlineLevel="0" collapsed="false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51" t="str">
        <f aca="true">IF(OR(R28="",R28=0),"",EDATE(TODAY(),R28))</f>
        <v/>
      </c>
      <c r="T28" s="37"/>
    </row>
    <row r="29" customFormat="false" ht="21.75" hidden="false" customHeight="true" outlineLevel="0" collapsed="false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52" t="str">
        <f aca="true">IF(OR(R29="",R29=0),"",EDATE(TODAY(),R29))</f>
        <v/>
      </c>
      <c r="T29" s="42"/>
    </row>
    <row r="30" customFormat="false" ht="21.75" hidden="false" customHeight="true" outlineLevel="0" collapsed="false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51" t="str">
        <f aca="true">IF(OR(R30="",R30=0),"",EDATE(TODAY(),R30))</f>
        <v/>
      </c>
      <c r="T30" s="37"/>
    </row>
    <row r="31" customFormat="false" ht="21.75" hidden="false" customHeight="true" outlineLevel="0" collapsed="false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52" t="str">
        <f aca="true">IF(OR(R31="",R31=0),"",EDATE(TODAY(),R31))</f>
        <v/>
      </c>
      <c r="T31" s="42"/>
    </row>
    <row r="32" customFormat="false" ht="21.75" hidden="false" customHeight="true" outlineLevel="0" collapsed="false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51" t="str">
        <f aca="true">IF(OR(R32="",R32=0),"",EDATE(TODAY(),R32))</f>
        <v/>
      </c>
      <c r="T32" s="37"/>
    </row>
    <row r="33" customFormat="false" ht="21.75" hidden="false" customHeight="true" outlineLevel="0" collapsed="false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52" t="str">
        <f aca="true">IF(OR(R33="",R33=0),"",EDATE(TODAY(),R33))</f>
        <v/>
      </c>
      <c r="T33" s="42"/>
    </row>
    <row r="34" customFormat="false" ht="21.75" hidden="false" customHeight="true" outlineLevel="0" collapsed="false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51" t="str">
        <f aca="true">IF(OR(R34="",R34=0),"",EDATE(TODAY(),R34))</f>
        <v/>
      </c>
      <c r="T34" s="37"/>
    </row>
    <row r="35" customFormat="false" ht="21.75" hidden="false" customHeight="true" outlineLevel="0" collapsed="false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52" t="str">
        <f aca="true">IF(OR(R35="",R35=0),"",EDATE(TODAY(),R35))</f>
        <v/>
      </c>
      <c r="T35" s="42"/>
    </row>
    <row r="36" customFormat="false" ht="21.75" hidden="false" customHeight="true" outlineLevel="0" collapsed="false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51" t="str">
        <f aca="true">IF(OR(R36="",R36=0),"",EDATE(TODAY(),R36))</f>
        <v/>
      </c>
      <c r="T36" s="37"/>
    </row>
    <row r="37" customFormat="false" ht="21.75" hidden="false" customHeight="true" outlineLevel="0" collapsed="false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52" t="str">
        <f aca="true">IF(OR(R37="",R37=0),"",EDATE(TODAY(),R37))</f>
        <v/>
      </c>
      <c r="T37" s="42"/>
    </row>
    <row r="38" customFormat="false" ht="21.75" hidden="false" customHeight="true" outlineLevel="0" collapsed="false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51" t="str">
        <f aca="true">IF(OR(R38="",R38=0),"",EDATE(TODAY(),R38))</f>
        <v/>
      </c>
      <c r="T38" s="37"/>
    </row>
    <row r="39" customFormat="false" ht="21.75" hidden="false" customHeight="true" outlineLevel="0" collapsed="false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52" t="str">
        <f aca="true">IF(OR(R39="",R39=0),"",EDATE(TODAY(),R39))</f>
        <v/>
      </c>
      <c r="T39" s="42"/>
    </row>
    <row r="40" customFormat="false" ht="21.75" hidden="false" customHeight="true" outlineLevel="0" collapsed="false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51" t="str">
        <f aca="true">IF(OR(R40="",R40=0),"",EDATE(TODAY(),R40))</f>
        <v/>
      </c>
      <c r="T40" s="37"/>
    </row>
    <row r="41" customFormat="false" ht="21.75" hidden="false" customHeight="true" outlineLevel="0" collapsed="false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52" t="str">
        <f aca="true">IF(OR(R41="",R41=0),"",EDATE(TODAY(),R41))</f>
        <v/>
      </c>
      <c r="T41" s="42"/>
    </row>
    <row r="42" customFormat="false" ht="21.75" hidden="false" customHeight="true" outlineLevel="0" collapsed="false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51" t="str">
        <f aca="true">IF(OR(R42="",R42=0),"",EDATE(TODAY(),R42))</f>
        <v/>
      </c>
      <c r="T42" s="37"/>
    </row>
    <row r="43" customFormat="false" ht="21.75" hidden="false" customHeight="true" outlineLevel="0" collapsed="false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52" t="str">
        <f aca="true">IF(OR(R43="",R43=0),"",EDATE(TODAY(),R43))</f>
        <v/>
      </c>
      <c r="T43" s="42"/>
    </row>
    <row r="44" customFormat="false" ht="21.75" hidden="false" customHeight="true" outlineLevel="0" collapsed="false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51" t="str">
        <f aca="true">IF(OR(R44="",R44=0),"",EDATE(TODAY(),R44))</f>
        <v/>
      </c>
      <c r="T44" s="37"/>
    </row>
    <row r="45" customFormat="false" ht="21.75" hidden="false" customHeight="true" outlineLevel="0" collapsed="false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52" t="str">
        <f aca="true">IF(OR(R45="",R45=0),"",EDATE(TODAY(),R45))</f>
        <v/>
      </c>
      <c r="T45" s="42"/>
    </row>
    <row r="46" customFormat="false" ht="21.75" hidden="false" customHeight="true" outlineLevel="0" collapsed="false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51" t="str">
        <f aca="true">IF(OR(R46="",R46=0),"",EDATE(TODAY(),R46))</f>
        <v/>
      </c>
      <c r="T46" s="37"/>
    </row>
    <row r="47" customFormat="false" ht="21.75" hidden="false" customHeight="true" outlineLevel="0" collapsed="false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52" t="str">
        <f aca="true">IF(OR(R47="",R47=0),"",EDATE(TODAY(),R47))</f>
        <v/>
      </c>
      <c r="T47" s="42"/>
    </row>
    <row r="48" customFormat="false" ht="21.75" hidden="false" customHeight="true" outlineLevel="0" collapsed="false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51" t="str">
        <f aca="true">IF(OR(R48="",R48=0),"",EDATE(TODAY(),R48))</f>
        <v/>
      </c>
      <c r="T48" s="37"/>
    </row>
    <row r="49" customFormat="false" ht="21.75" hidden="false" customHeight="true" outlineLevel="0" collapsed="false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52" t="str">
        <f aca="true">IF(OR(R49="",R49=0),"",EDATE(TODAY(),R49))</f>
        <v/>
      </c>
      <c r="T49" s="42"/>
    </row>
    <row r="50" customFormat="false" ht="21.75" hidden="false" customHeight="true" outlineLevel="0" collapsed="false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51" t="str">
        <f aca="true">IF(OR(R50="",R50=0),"",EDATE(TODAY(),R50))</f>
        <v/>
      </c>
      <c r="T50" s="37"/>
    </row>
    <row r="51" customFormat="false" ht="21.75" hidden="false" customHeight="true" outlineLevel="0" collapsed="false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52" t="str">
        <f aca="true">IF(OR(R51="",R51=0),"",EDATE(TODAY(),R51))</f>
        <v/>
      </c>
      <c r="T51" s="42"/>
    </row>
    <row r="52" customFormat="false" ht="21.75" hidden="false" customHeight="true" outlineLevel="0" collapsed="false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51" t="str">
        <f aca="true">IF(OR(R52="",R52=0),"",EDATE(TODAY(),R52))</f>
        <v/>
      </c>
      <c r="T52" s="37"/>
    </row>
    <row r="53" customFormat="false" ht="21.75" hidden="false" customHeight="true" outlineLevel="0" collapsed="false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52" t="str">
        <f aca="true">IF(OR(R53="",R53=0),"",EDATE(TODAY(),R53))</f>
        <v/>
      </c>
      <c r="T53" s="42"/>
    </row>
    <row r="54" customFormat="false" ht="21.75" hidden="false" customHeight="true" outlineLevel="0" collapsed="false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51" t="str">
        <f aca="true">IF(OR(R54="",R54=0),"",EDATE(TODAY(),R54))</f>
        <v/>
      </c>
      <c r="T54" s="37"/>
    </row>
    <row r="55" customFormat="false" ht="21.75" hidden="false" customHeight="true" outlineLevel="0" collapsed="false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52" t="str">
        <f aca="true">IF(OR(R55="",R55=0),"",EDATE(TODAY(),R55))</f>
        <v/>
      </c>
      <c r="T55" s="42"/>
    </row>
    <row r="56" customFormat="false" ht="21.75" hidden="false" customHeight="true" outlineLevel="0" collapsed="false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51" t="str">
        <f aca="true">IF(OR(R56="",R56=0),"",EDATE(TODAY(),R56))</f>
        <v/>
      </c>
      <c r="T56" s="37"/>
    </row>
    <row r="57" customFormat="false" ht="21.75" hidden="false" customHeight="true" outlineLevel="0" collapsed="false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52" t="str">
        <f aca="true">IF(OR(R57="",R57=0),"",EDATE(TODAY(),R57))</f>
        <v/>
      </c>
      <c r="T57" s="42"/>
    </row>
    <row r="58" customFormat="false" ht="21.75" hidden="false" customHeight="true" outlineLevel="0" collapsed="false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51" t="str">
        <f aca="true">IF(OR(R58="",R58=0),"",EDATE(TODAY(),R58))</f>
        <v/>
      </c>
      <c r="T58" s="37"/>
    </row>
    <row r="59" customFormat="false" ht="21.75" hidden="false" customHeight="true" outlineLevel="0" collapsed="false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52" t="str">
        <f aca="true">IF(OR(R59="",R59=0),"",EDATE(TODAY(),R59))</f>
        <v/>
      </c>
      <c r="T59" s="42"/>
    </row>
    <row r="60" customFormat="false" ht="21.75" hidden="false" customHeight="true" outlineLevel="0" collapsed="false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51" t="str">
        <f aca="true">IF(OR(R60="",R60=0),"",EDATE(TODAY(),R60))</f>
        <v/>
      </c>
      <c r="T60" s="37"/>
    </row>
    <row r="61" customFormat="false" ht="21.75" hidden="false" customHeight="true" outlineLevel="0" collapsed="false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52" t="str">
        <f aca="true">IF(OR(R61="",R61=0),"",EDATE(TODAY(),R61))</f>
        <v/>
      </c>
      <c r="T61" s="42"/>
    </row>
    <row r="62" customFormat="false" ht="21.75" hidden="false" customHeight="true" outlineLevel="0" collapsed="false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51" t="str">
        <f aca="true">IF(OR(R62="",R62=0),"",EDATE(TODAY(),R62))</f>
        <v/>
      </c>
      <c r="T62" s="37"/>
    </row>
    <row r="63" customFormat="false" ht="21.75" hidden="false" customHeight="true" outlineLevel="0" collapsed="false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52" t="str">
        <f aca="true">IF(OR(R63="",R63=0),"",EDATE(TODAY(),R63))</f>
        <v/>
      </c>
      <c r="T63" s="42"/>
    </row>
    <row r="64" customFormat="false" ht="21.75" hidden="false" customHeight="true" outlineLevel="0" collapsed="false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51" t="str">
        <f aca="true">IF(OR(R64="",R64=0),"",EDATE(TODAY(),R64))</f>
        <v/>
      </c>
      <c r="T64" s="37"/>
    </row>
    <row r="65" customFormat="false" ht="21.75" hidden="false" customHeight="true" outlineLevel="0" collapsed="false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52" t="str">
        <f aca="true">IF(OR(R65="",R65=0),"",EDATE(TODAY(),R65))</f>
        <v/>
      </c>
      <c r="T65" s="42"/>
    </row>
    <row r="66" customFormat="false" ht="21.75" hidden="false" customHeight="true" outlineLevel="0" collapsed="false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51" t="str">
        <f aca="true">IF(OR(R66="",R66=0),"",EDATE(TODAY(),R66))</f>
        <v/>
      </c>
      <c r="T66" s="37"/>
    </row>
    <row r="67" customFormat="false" ht="21.75" hidden="false" customHeight="true" outlineLevel="0" collapsed="false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52" t="str">
        <f aca="true">IF(OR(R67="",R67=0),"",EDATE(TODAY(),R67))</f>
        <v/>
      </c>
      <c r="T67" s="42"/>
    </row>
    <row r="68" customFormat="false" ht="21.75" hidden="false" customHeight="true" outlineLevel="0" collapsed="false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51" t="str">
        <f aca="true">IF(OR(R68="",R68=0),"",EDATE(TODAY(),R68))</f>
        <v/>
      </c>
      <c r="T68" s="37"/>
    </row>
    <row r="69" customFormat="false" ht="21.75" hidden="false" customHeight="true" outlineLevel="0" collapsed="false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52" t="str">
        <f aca="true">IF(OR(R69="",R69=0),"",EDATE(TODAY(),R69))</f>
        <v/>
      </c>
      <c r="T69" s="42"/>
    </row>
    <row r="70" customFormat="false" ht="21.75" hidden="false" customHeight="true" outlineLevel="0" collapsed="false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51" t="str">
        <f aca="true">IF(OR(R70="",R70=0),"",EDATE(TODAY(),R70))</f>
        <v/>
      </c>
      <c r="T70" s="37"/>
    </row>
    <row r="71" customFormat="false" ht="21.75" hidden="false" customHeight="true" outlineLevel="0" collapsed="false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52" t="str">
        <f aca="true">IF(OR(R71="",R71=0),"",EDATE(TODAY(),R71))</f>
        <v/>
      </c>
      <c r="T71" s="42"/>
    </row>
    <row r="72" customFormat="false" ht="21.75" hidden="false" customHeight="true" outlineLevel="0" collapsed="false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51" t="str">
        <f aca="true">IF(OR(R72="",R72=0),"",EDATE(TODAY(),R72))</f>
        <v/>
      </c>
      <c r="T72" s="37"/>
    </row>
    <row r="73" customFormat="false" ht="21.75" hidden="false" customHeight="true" outlineLevel="0" collapsed="false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52" t="str">
        <f aca="true">IF(OR(R73="",R73=0),"",EDATE(TODAY(),R73))</f>
        <v/>
      </c>
      <c r="T73" s="42"/>
    </row>
    <row r="74" customFormat="false" ht="21.75" hidden="false" customHeight="true" outlineLevel="0" collapsed="false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51" t="str">
        <f aca="true">IF(OR(R74="",R74=0),"",EDATE(TODAY(),R74))</f>
        <v/>
      </c>
      <c r="T74" s="37"/>
    </row>
    <row r="75" customFormat="false" ht="21.75" hidden="false" customHeight="true" outlineLevel="0" collapsed="false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52" t="str">
        <f aca="true">IF(OR(R75="",R75=0),"",EDATE(TODAY(),R75))</f>
        <v/>
      </c>
      <c r="T75" s="42"/>
    </row>
    <row r="76" customFormat="false" ht="21.75" hidden="false" customHeight="true" outlineLevel="0" collapsed="false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51" t="str">
        <f aca="true">IF(OR(R76="",R76=0),"",EDATE(TODAY(),R76))</f>
        <v/>
      </c>
      <c r="T76" s="37"/>
    </row>
    <row r="77" customFormat="false" ht="21.75" hidden="false" customHeight="true" outlineLevel="0" collapsed="false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52" t="str">
        <f aca="true">IF(OR(R77="",R77=0),"",EDATE(TODAY(),R77))</f>
        <v/>
      </c>
      <c r="T77" s="42"/>
    </row>
    <row r="78" customFormat="false" ht="21.75" hidden="false" customHeight="true" outlineLevel="0" collapsed="false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51" t="str">
        <f aca="true">IF(OR(R78="",R78=0),"",EDATE(TODAY(),R78))</f>
        <v/>
      </c>
      <c r="T78" s="37"/>
    </row>
    <row r="79" customFormat="false" ht="21.75" hidden="false" customHeight="true" outlineLevel="0" collapsed="false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52" t="str">
        <f aca="true">IF(OR(R79="",R79=0),"",EDATE(TODAY(),R79))</f>
        <v/>
      </c>
      <c r="T79" s="42"/>
    </row>
    <row r="80" customFormat="false" ht="21.75" hidden="false" customHeight="true" outlineLevel="0" collapsed="false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51" t="str">
        <f aca="true">IF(OR(R80="",R80=0),"",EDATE(TODAY(),R80))</f>
        <v/>
      </c>
      <c r="T80" s="37"/>
    </row>
    <row r="81" customFormat="false" ht="21.75" hidden="false" customHeight="true" outlineLevel="0" collapsed="false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52" t="str">
        <f aca="true">IF(OR(R81="",R81=0),"",EDATE(TODAY(),R81))</f>
        <v/>
      </c>
      <c r="T81" s="42"/>
    </row>
    <row r="82" customFormat="false" ht="21.75" hidden="false" customHeight="true" outlineLevel="0" collapsed="false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51" t="str">
        <f aca="true">IF(OR(R82="",R82=0),"",EDATE(TODAY(),R82))</f>
        <v/>
      </c>
      <c r="T82" s="37"/>
    </row>
    <row r="83" customFormat="false" ht="21.75" hidden="false" customHeight="true" outlineLevel="0" collapsed="false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52" t="str">
        <f aca="true">IF(OR(R83="",R83=0),"",EDATE(TODAY(),R83))</f>
        <v/>
      </c>
      <c r="T83" s="42"/>
    </row>
    <row r="84" customFormat="false" ht="21.75" hidden="false" customHeight="true" outlineLevel="0" collapsed="false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51" t="str">
        <f aca="true">IF(OR(R84="",R84=0),"",EDATE(TODAY(),R84))</f>
        <v/>
      </c>
      <c r="T84" s="37"/>
    </row>
    <row r="85" customFormat="false" ht="21.75" hidden="false" customHeight="true" outlineLevel="0" collapsed="false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52" t="str">
        <f aca="true">IF(OR(R85="",R85=0),"",EDATE(TODAY(),R85))</f>
        <v/>
      </c>
      <c r="T85" s="42"/>
    </row>
    <row r="86" customFormat="false" ht="21.75" hidden="false" customHeight="true" outlineLevel="0" collapsed="false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51" t="str">
        <f aca="true">IF(OR(R86="",R86=0),"",EDATE(TODAY(),R86))</f>
        <v/>
      </c>
      <c r="T86" s="37"/>
    </row>
    <row r="87" customFormat="false" ht="21.75" hidden="false" customHeight="true" outlineLevel="0" collapsed="false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52" t="str">
        <f aca="true">IF(OR(R87="",R87=0),"",EDATE(TODAY(),R87))</f>
        <v/>
      </c>
      <c r="T87" s="42"/>
    </row>
    <row r="88" customFormat="false" ht="21.75" hidden="false" customHeight="true" outlineLevel="0" collapsed="false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51" t="str">
        <f aca="true">IF(OR(R88="",R88=0),"",EDATE(TODAY(),R88))</f>
        <v/>
      </c>
      <c r="T88" s="37"/>
    </row>
    <row r="89" customFormat="false" ht="21.75" hidden="false" customHeight="true" outlineLevel="0" collapsed="false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52" t="str">
        <f aca="true">IF(OR(R89="",R89=0),"",EDATE(TODAY(),R89))</f>
        <v/>
      </c>
      <c r="T89" s="42"/>
    </row>
    <row r="90" customFormat="false" ht="21.75" hidden="false" customHeight="true" outlineLevel="0" collapsed="false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51" t="str">
        <f aca="true">IF(OR(R90="",R90=0),"",EDATE(TODAY(),R90))</f>
        <v/>
      </c>
      <c r="T90" s="37"/>
    </row>
    <row r="91" customFormat="false" ht="21.75" hidden="false" customHeight="true" outlineLevel="0" collapsed="false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52" t="str">
        <f aca="true">IF(OR(R91="",R91=0),"",EDATE(TODAY(),R91))</f>
        <v/>
      </c>
      <c r="T91" s="42"/>
    </row>
    <row r="92" customFormat="false" ht="21.75" hidden="false" customHeight="true" outlineLevel="0" collapsed="false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51" t="str">
        <f aca="true">IF(OR(R92="",R92=0),"",EDATE(TODAY(),R92))</f>
        <v/>
      </c>
      <c r="T92" s="37"/>
    </row>
    <row r="93" customFormat="false" ht="21.75" hidden="false" customHeight="true" outlineLevel="0" collapsed="false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52" t="str">
        <f aca="true">IF(OR(R93="",R93=0),"",EDATE(TODAY(),R93))</f>
        <v/>
      </c>
      <c r="T93" s="42"/>
    </row>
    <row r="94" customFormat="false" ht="21.75" hidden="false" customHeight="true" outlineLevel="0" collapsed="false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51" t="str">
        <f aca="true">IF(OR(R94="",R94=0),"",EDATE(TODAY(),R94))</f>
        <v/>
      </c>
      <c r="T94" s="37"/>
    </row>
    <row r="95" customFormat="false" ht="21.75" hidden="false" customHeight="true" outlineLevel="0" collapsed="false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52" t="str">
        <f aca="true">IF(OR(R95="",R95=0),"",EDATE(TODAY(),R95))</f>
        <v/>
      </c>
      <c r="T95" s="42"/>
    </row>
    <row r="96" customFormat="false" ht="21.75" hidden="false" customHeight="true" outlineLevel="0" collapsed="false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51" t="str">
        <f aca="true">IF(OR(R96="",R96=0),"",EDATE(TODAY(),R96))</f>
        <v/>
      </c>
      <c r="T96" s="37"/>
    </row>
    <row r="97" customFormat="false" ht="21.75" hidden="false" customHeight="true" outlineLevel="0" collapsed="false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52" t="str">
        <f aca="true">IF(OR(R97="",R97=0),"",EDATE(TODAY(),R97))</f>
        <v/>
      </c>
      <c r="T97" s="42"/>
    </row>
    <row r="98" customFormat="false" ht="21.75" hidden="false" customHeight="true" outlineLevel="0" collapsed="false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51" t="str">
        <f aca="true">IF(OR(R98="",R98=0),"",EDATE(TODAY(),R98))</f>
        <v/>
      </c>
      <c r="T98" s="37"/>
    </row>
    <row r="99" customFormat="false" ht="21.75" hidden="false" customHeight="true" outlineLevel="0" collapsed="false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52" t="str">
        <f aca="true">IF(OR(R99="",R99=0),"",EDATE(TODAY(),R99))</f>
        <v/>
      </c>
      <c r="T99" s="42"/>
    </row>
    <row r="100" customFormat="false" ht="21.75" hidden="false" customHeight="true" outlineLevel="0" collapsed="false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51" t="str">
        <f aca="true">IF(OR(R100="",R100=0),"",EDATE(TODAY(),R100))</f>
        <v/>
      </c>
      <c r="T100" s="37"/>
    </row>
    <row r="101" customFormat="false" ht="21.75" hidden="false" customHeight="true" outlineLevel="0" collapsed="false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52" t="str">
        <f aca="true">IF(OR(R101="",R101=0),"",EDATE(TODAY(),R101))</f>
        <v/>
      </c>
      <c r="T101" s="42"/>
    </row>
    <row r="102" customFormat="false" ht="21.75" hidden="false" customHeight="true" outlineLevel="0" collapsed="false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51" t="str">
        <f aca="true">IF(OR(R102="",R102=0),"",EDATE(TODAY(),R102))</f>
        <v/>
      </c>
      <c r="T102" s="37"/>
    </row>
    <row r="103" customFormat="false" ht="21.75" hidden="false" customHeight="true" outlineLevel="0" collapsed="false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52" t="str">
        <f aca="true">IF(OR(R103="",R103=0),"",EDATE(TODAY(),R103))</f>
        <v/>
      </c>
      <c r="T103" s="42"/>
    </row>
    <row r="104" customFormat="false" ht="21.75" hidden="false" customHeight="true" outlineLevel="0" collapsed="false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51" t="str">
        <f aca="true">IF(OR(R104="",R104=0),"",EDATE(TODAY(),R104))</f>
        <v/>
      </c>
      <c r="T104" s="37"/>
    </row>
    <row r="105" customFormat="false" ht="21.75" hidden="false" customHeight="true" outlineLevel="0" collapsed="false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52" t="str">
        <f aca="true">IF(OR(R105="",R105=0),"",EDATE(TODAY(),R105))</f>
        <v/>
      </c>
      <c r="T105" s="42"/>
    </row>
    <row r="106" customFormat="false" ht="21.75" hidden="false" customHeight="true" outlineLevel="0" collapsed="false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51" t="str">
        <f aca="true">IF(OR(R106="",R106=0),"",EDATE(TODAY(),R106))</f>
        <v/>
      </c>
      <c r="T106" s="37"/>
    </row>
    <row r="107" customFormat="false" ht="21.75" hidden="false" customHeight="true" outlineLevel="0" collapsed="false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52" t="str">
        <f aca="true">IF(OR(R107="",R107=0),"",EDATE(TODAY(),R107))</f>
        <v/>
      </c>
      <c r="T107" s="42"/>
    </row>
    <row r="108" customFormat="false" ht="21.75" hidden="false" customHeight="true" outlineLevel="0" collapsed="false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51" t="str">
        <f aca="true">IF(OR(R108="",R108=0),"",EDATE(TODAY(),R108))</f>
        <v/>
      </c>
      <c r="T108" s="37"/>
    </row>
    <row r="109" customFormat="false" ht="21.75" hidden="false" customHeight="true" outlineLevel="0" collapsed="false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52" t="str">
        <f aca="true">IF(OR(R109="",R109=0),"",EDATE(TODAY(),R109))</f>
        <v/>
      </c>
      <c r="T109" s="42"/>
    </row>
    <row r="110" customFormat="false" ht="21.75" hidden="false" customHeight="true" outlineLevel="0" collapsed="false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51" t="str">
        <f aca="true">IF(OR(R110="",R110=0),"",EDATE(TODAY(),R110))</f>
        <v/>
      </c>
      <c r="T110" s="37"/>
    </row>
    <row r="111" customFormat="false" ht="21.75" hidden="false" customHeight="true" outlineLevel="0" collapsed="false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52" t="str">
        <f aca="true">IF(OR(R111="",R111=0),"",EDATE(TODAY(),R111))</f>
        <v/>
      </c>
      <c r="T111" s="42"/>
    </row>
    <row r="112" customFormat="false" ht="21.75" hidden="false" customHeight="true" outlineLevel="0" collapsed="false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51" t="str">
        <f aca="true">IF(OR(R112="",R112=0),"",EDATE(TODAY(),R112))</f>
        <v/>
      </c>
      <c r="T112" s="37"/>
    </row>
    <row r="113" customFormat="false" ht="21.75" hidden="false" customHeight="true" outlineLevel="0" collapsed="false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52" t="str">
        <f aca="true">IF(OR(R113="",R113=0),"",EDATE(TODAY(),R113))</f>
        <v/>
      </c>
      <c r="T113" s="42"/>
    </row>
    <row r="114" customFormat="false" ht="21.75" hidden="false" customHeight="true" outlineLevel="0" collapsed="false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51" t="str">
        <f aca="true">IF(OR(R114="",R114=0),"",EDATE(TODAY(),R114))</f>
        <v/>
      </c>
      <c r="T114" s="37"/>
    </row>
    <row r="115" customFormat="false" ht="21.75" hidden="false" customHeight="true" outlineLevel="0" collapsed="false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52" t="str">
        <f aca="true">IF(OR(R115="",R115=0),"",EDATE(TODAY(),R115))</f>
        <v/>
      </c>
      <c r="T115" s="42"/>
    </row>
    <row r="116" customFormat="false" ht="21.75" hidden="false" customHeight="true" outlineLevel="0" collapsed="false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51" t="str">
        <f aca="true">IF(OR(R116="",R116=0),"",EDATE(TODAY(),R116))</f>
        <v/>
      </c>
      <c r="T116" s="37"/>
    </row>
    <row r="117" customFormat="false" ht="21.75" hidden="false" customHeight="true" outlineLevel="0" collapsed="false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52" t="str">
        <f aca="true">IF(OR(R117="",R117=0),"",EDATE(TODAY(),R117))</f>
        <v/>
      </c>
      <c r="T117" s="42"/>
    </row>
    <row r="118" customFormat="false" ht="21.75" hidden="false" customHeight="true" outlineLevel="0" collapsed="false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51" t="str">
        <f aca="true">IF(OR(R118="",R118=0),"",EDATE(TODAY(),R118))</f>
        <v/>
      </c>
      <c r="T118" s="37"/>
    </row>
    <row r="119" customFormat="false" ht="21.75" hidden="false" customHeight="true" outlineLevel="0" collapsed="false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52" t="str">
        <f aca="true">IF(OR(R119="",R119=0),"",EDATE(TODAY(),R119))</f>
        <v/>
      </c>
      <c r="T119" s="42"/>
    </row>
    <row r="120" customFormat="false" ht="21.75" hidden="false" customHeight="true" outlineLevel="0" collapsed="false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51" t="str">
        <f aca="true">IF(OR(R120="",R120=0),"",EDATE(TODAY(),R120))</f>
        <v/>
      </c>
      <c r="T120" s="37"/>
    </row>
    <row r="121" customFormat="false" ht="21.75" hidden="false" customHeight="true" outlineLevel="0" collapsed="false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52" t="str">
        <f aca="true">IF(OR(R121="",R121=0),"",EDATE(TODAY(),R121))</f>
        <v/>
      </c>
      <c r="T121" s="42"/>
    </row>
    <row r="122" customFormat="false" ht="21.75" hidden="false" customHeight="true" outlineLevel="0" collapsed="false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51" t="str">
        <f aca="true">IF(OR(R122="",R122=0),"",EDATE(TODAY(),R122))</f>
        <v/>
      </c>
      <c r="T122" s="37"/>
    </row>
    <row r="123" customFormat="false" ht="21.75" hidden="false" customHeight="true" outlineLevel="0" collapsed="false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52" t="str">
        <f aca="true">IF(OR(R123="",R123=0),"",EDATE(TODAY(),R123))</f>
        <v/>
      </c>
      <c r="T123" s="42"/>
    </row>
    <row r="124" customFormat="false" ht="21.75" hidden="false" customHeight="true" outlineLevel="0" collapsed="false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51" t="str">
        <f aca="true">IF(OR(R124="",R124=0),"",EDATE(TODAY(),R124))</f>
        <v/>
      </c>
      <c r="T124" s="37"/>
    </row>
    <row r="125" customFormat="false" ht="21.75" hidden="false" customHeight="true" outlineLevel="0" collapsed="false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52" t="str">
        <f aca="true">IF(OR(R125="",R125=0),"",EDATE(TODAY(),R125))</f>
        <v/>
      </c>
      <c r="T125" s="42"/>
    </row>
    <row r="126" customFormat="false" ht="21.75" hidden="false" customHeight="true" outlineLevel="0" collapsed="false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51" t="str">
        <f aca="true">IF(OR(R126="",R126=0),"",EDATE(TODAY(),R126))</f>
        <v/>
      </c>
      <c r="T126" s="37"/>
    </row>
    <row r="127" customFormat="false" ht="21.75" hidden="false" customHeight="true" outlineLevel="0" collapsed="false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52" t="str">
        <f aca="true">IF(OR(R127="",R127=0),"",EDATE(TODAY(),R127))</f>
        <v/>
      </c>
      <c r="T127" s="42"/>
    </row>
    <row r="128" customFormat="false" ht="21.75" hidden="false" customHeight="true" outlineLevel="0" collapsed="false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51" t="str">
        <f aca="true">IF(OR(R128="",R128=0),"",EDATE(TODAY(),R128))</f>
        <v/>
      </c>
      <c r="T128" s="37"/>
    </row>
    <row r="129" customFormat="false" ht="21.75" hidden="false" customHeight="true" outlineLevel="0" collapsed="false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52" t="str">
        <f aca="true">IF(OR(R129="",R129=0),"",EDATE(TODAY(),R129))</f>
        <v/>
      </c>
      <c r="T129" s="42"/>
    </row>
    <row r="130" customFormat="false" ht="21.75" hidden="false" customHeight="true" outlineLevel="0" collapsed="false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51" t="str">
        <f aca="true">IF(OR(R130="",R130=0),"",EDATE(TODAY(),R130))</f>
        <v/>
      </c>
      <c r="T130" s="37"/>
    </row>
    <row r="131" customFormat="false" ht="21.75" hidden="false" customHeight="true" outlineLevel="0" collapsed="false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52" t="str">
        <f aca="true">IF(OR(R131="",R131=0),"",EDATE(TODAY(),R131))</f>
        <v/>
      </c>
      <c r="T131" s="42"/>
    </row>
    <row r="132" customFormat="false" ht="21.75" hidden="false" customHeight="true" outlineLevel="0" collapsed="false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51" t="str">
        <f aca="true">IF(OR(R132="",R132=0),"",EDATE(TODAY(),R132))</f>
        <v/>
      </c>
      <c r="T132" s="37"/>
    </row>
    <row r="133" customFormat="false" ht="21.75" hidden="false" customHeight="true" outlineLevel="0" collapsed="false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52" t="str">
        <f aca="true">IF(OR(R133="",R133=0),"",EDATE(TODAY(),R133))</f>
        <v/>
      </c>
      <c r="T133" s="42"/>
    </row>
    <row r="134" customFormat="false" ht="21.75" hidden="false" customHeight="true" outlineLevel="0" collapsed="false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51" t="str">
        <f aca="true">IF(OR(R134="",R134=0),"",EDATE(TODAY(),R134))</f>
        <v/>
      </c>
      <c r="T134" s="37"/>
    </row>
    <row r="135" customFormat="false" ht="21.75" hidden="false" customHeight="true" outlineLevel="0" collapsed="false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52" t="str">
        <f aca="true">IF(OR(R135="",R135=0),"",EDATE(TODAY(),R135))</f>
        <v/>
      </c>
      <c r="T135" s="42"/>
    </row>
    <row r="136" customFormat="false" ht="21.75" hidden="false" customHeight="true" outlineLevel="0" collapsed="false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51" t="str">
        <f aca="true">IF(OR(R136="",R136=0),"",EDATE(TODAY(),R136))</f>
        <v/>
      </c>
      <c r="T136" s="37"/>
    </row>
    <row r="137" customFormat="false" ht="21.75" hidden="false" customHeight="true" outlineLevel="0" collapsed="false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52" t="str">
        <f aca="true">IF(OR(R137="",R137=0),"",EDATE(TODAY(),R137))</f>
        <v/>
      </c>
      <c r="T137" s="42"/>
    </row>
    <row r="138" customFormat="false" ht="21.75" hidden="false" customHeight="true" outlineLevel="0" collapsed="false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51" t="str">
        <f aca="true">IF(OR(R138="",R138=0),"",EDATE(TODAY(),R138))</f>
        <v/>
      </c>
      <c r="T138" s="37"/>
    </row>
    <row r="139" customFormat="false" ht="21.75" hidden="false" customHeight="true" outlineLevel="0" collapsed="false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52" t="str">
        <f aca="true">IF(OR(R139="",R139=0),"",EDATE(TODAY(),R139))</f>
        <v/>
      </c>
      <c r="T139" s="42"/>
    </row>
    <row r="140" customFormat="false" ht="21.75" hidden="false" customHeight="true" outlineLevel="0" collapsed="false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51" t="str">
        <f aca="true">IF(OR(R140="",R140=0),"",EDATE(TODAY(),R140))</f>
        <v/>
      </c>
      <c r="T140" s="37"/>
    </row>
    <row r="141" customFormat="false" ht="21.75" hidden="false" customHeight="true" outlineLevel="0" collapsed="false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52" t="str">
        <f aca="true">IF(OR(R141="",R141=0),"",EDATE(TODAY(),R141))</f>
        <v/>
      </c>
      <c r="T141" s="42"/>
    </row>
    <row r="142" customFormat="false" ht="21.75" hidden="false" customHeight="true" outlineLevel="0" collapsed="false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51" t="str">
        <f aca="true">IF(OR(R142="",R142=0),"",EDATE(TODAY(),R142))</f>
        <v/>
      </c>
      <c r="T142" s="37"/>
    </row>
    <row r="143" customFormat="false" ht="21.75" hidden="false" customHeight="true" outlineLevel="0" collapsed="false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52" t="str">
        <f aca="true">IF(OR(R143="",R143=0),"",EDATE(TODAY(),R143))</f>
        <v/>
      </c>
      <c r="T143" s="42"/>
    </row>
    <row r="144" customFormat="false" ht="21.75" hidden="false" customHeight="true" outlineLevel="0" collapsed="false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51" t="str">
        <f aca="true">IF(OR(R144="",R144=0),"",EDATE(TODAY(),R144))</f>
        <v/>
      </c>
      <c r="T144" s="37"/>
    </row>
    <row r="145" customFormat="false" ht="21.75" hidden="false" customHeight="true" outlineLevel="0" collapsed="false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52" t="str">
        <f aca="true">IF(OR(R145="",R145=0),"",EDATE(TODAY(),R145))</f>
        <v/>
      </c>
      <c r="T145" s="42"/>
    </row>
    <row r="146" customFormat="false" ht="21.75" hidden="false" customHeight="true" outlineLevel="0" collapsed="false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51" t="str">
        <f aca="true">IF(OR(R146="",R146=0),"",EDATE(TODAY(),R146))</f>
        <v/>
      </c>
      <c r="T146" s="37"/>
    </row>
    <row r="147" customFormat="false" ht="21.75" hidden="false" customHeight="true" outlineLevel="0" collapsed="false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52" t="str">
        <f aca="true">IF(OR(R147="",R147=0),"",EDATE(TODAY(),R147))</f>
        <v/>
      </c>
      <c r="T147" s="42"/>
    </row>
    <row r="148" customFormat="false" ht="21.75" hidden="false" customHeight="true" outlineLevel="0" collapsed="false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51" t="str">
        <f aca="true">IF(OR(R148="",R148=0),"",EDATE(TODAY(),R148))</f>
        <v/>
      </c>
      <c r="T148" s="37"/>
    </row>
    <row r="149" customFormat="false" ht="21.75" hidden="false" customHeight="true" outlineLevel="0" collapsed="false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52" t="str">
        <f aca="true">IF(OR(R149="",R149=0),"",EDATE(TODAY(),R149))</f>
        <v/>
      </c>
      <c r="T149" s="42"/>
    </row>
    <row r="150" customFormat="false" ht="21.75" hidden="false" customHeight="true" outlineLevel="0" collapsed="false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51" t="str">
        <f aca="true">IF(OR(R150="",R150=0),"",EDATE(TODAY(),R150))</f>
        <v/>
      </c>
      <c r="T150" s="37"/>
    </row>
    <row r="151" customFormat="false" ht="21.75" hidden="false" customHeight="true" outlineLevel="0" collapsed="false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52" t="str">
        <f aca="true">IF(OR(R151="",R151=0),"",EDATE(TODAY(),R151))</f>
        <v/>
      </c>
      <c r="T151" s="42"/>
    </row>
    <row r="152" customFormat="false" ht="21.75" hidden="false" customHeight="true" outlineLevel="0" collapsed="false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51" t="str">
        <f aca="true">IF(OR(R152="",R152=0),"",EDATE(TODAY(),R152))</f>
        <v/>
      </c>
      <c r="T152" s="37"/>
    </row>
    <row r="153" customFormat="false" ht="21.75" hidden="false" customHeight="true" outlineLevel="0" collapsed="false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52" t="str">
        <f aca="true">IF(OR(R153="",R153=0),"",EDATE(TODAY(),R153))</f>
        <v/>
      </c>
      <c r="T153" s="42"/>
    </row>
    <row r="154" customFormat="false" ht="21.75" hidden="false" customHeight="true" outlineLevel="0" collapsed="false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51" t="str">
        <f aca="true">IF(OR(R154="",R154=0),"",EDATE(TODAY(),R154))</f>
        <v/>
      </c>
      <c r="T154" s="37"/>
    </row>
    <row r="155" customFormat="false" ht="21.75" hidden="false" customHeight="true" outlineLevel="0" collapsed="false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52" t="str">
        <f aca="true">IF(OR(R155="",R155=0),"",EDATE(TODAY(),R155))</f>
        <v/>
      </c>
      <c r="T155" s="42"/>
    </row>
    <row r="156" customFormat="false" ht="21.75" hidden="false" customHeight="true" outlineLevel="0" collapsed="false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51" t="str">
        <f aca="true">IF(OR(R156="",R156=0),"",EDATE(TODAY(),R156))</f>
        <v/>
      </c>
      <c r="T156" s="37"/>
    </row>
    <row r="157" customFormat="false" ht="21.75" hidden="false" customHeight="true" outlineLevel="0" collapsed="false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52" t="str">
        <f aca="true">IF(OR(R157="",R157=0),"",EDATE(TODAY(),R157))</f>
        <v/>
      </c>
      <c r="T157" s="42"/>
    </row>
    <row r="158" customFormat="false" ht="21.75" hidden="false" customHeight="true" outlineLevel="0" collapsed="false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51" t="str">
        <f aca="true">IF(OR(R158="",R158=0),"",EDATE(TODAY(),R158))</f>
        <v/>
      </c>
      <c r="T158" s="37"/>
    </row>
    <row r="159" customFormat="false" ht="21.75" hidden="false" customHeight="true" outlineLevel="0" collapsed="false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52" t="str">
        <f aca="true">IF(OR(R159="",R159=0),"",EDATE(TODAY(),R159))</f>
        <v/>
      </c>
      <c r="T159" s="42"/>
    </row>
    <row r="160" customFormat="false" ht="21.75" hidden="false" customHeight="true" outlineLevel="0" collapsed="false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51" t="str">
        <f aca="true">IF(OR(R160="",R160=0),"",EDATE(TODAY(),R160))</f>
        <v/>
      </c>
      <c r="T160" s="37"/>
    </row>
    <row r="161" customFormat="false" ht="21.75" hidden="false" customHeight="true" outlineLevel="0" collapsed="false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52" t="str">
        <f aca="true">IF(OR(R161="",R161=0),"",EDATE(TODAY(),R161))</f>
        <v/>
      </c>
      <c r="T161" s="42"/>
    </row>
    <row r="162" customFormat="false" ht="21.75" hidden="false" customHeight="true" outlineLevel="0" collapsed="false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51" t="str">
        <f aca="true">IF(OR(R162="",R162=0),"",EDATE(TODAY(),R162))</f>
        <v/>
      </c>
      <c r="T162" s="37"/>
    </row>
    <row r="163" customFormat="false" ht="21.75" hidden="false" customHeight="true" outlineLevel="0" collapsed="false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52" t="str">
        <f aca="true">IF(OR(R163="",R163=0),"",EDATE(TODAY(),R163))</f>
        <v/>
      </c>
      <c r="T163" s="42"/>
    </row>
    <row r="164" customFormat="false" ht="21.75" hidden="false" customHeight="true" outlineLevel="0" collapsed="false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51" t="str">
        <f aca="true">IF(OR(R164="",R164=0),"",EDATE(TODAY(),R164))</f>
        <v/>
      </c>
      <c r="T164" s="37"/>
    </row>
    <row r="165" customFormat="false" ht="21.75" hidden="false" customHeight="true" outlineLevel="0" collapsed="false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52" t="str">
        <f aca="true">IF(OR(R165="",R165=0),"",EDATE(TODAY(),R165))</f>
        <v/>
      </c>
      <c r="T165" s="42"/>
    </row>
    <row r="166" customFormat="false" ht="21.75" hidden="false" customHeight="true" outlineLevel="0" collapsed="false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51" t="str">
        <f aca="true">IF(OR(R166="",R166=0),"",EDATE(TODAY(),R166))</f>
        <v/>
      </c>
      <c r="T166" s="37"/>
    </row>
    <row r="167" customFormat="false" ht="21.75" hidden="false" customHeight="true" outlineLevel="0" collapsed="false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52" t="str">
        <f aca="true">IF(OR(R167="",R167=0),"",EDATE(TODAY(),R167))</f>
        <v/>
      </c>
      <c r="T167" s="42"/>
    </row>
    <row r="168" customFormat="false" ht="21.75" hidden="false" customHeight="true" outlineLevel="0" collapsed="false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51" t="str">
        <f aca="true">IF(OR(R168="",R168=0),"",EDATE(TODAY(),R168))</f>
        <v/>
      </c>
      <c r="T168" s="37"/>
    </row>
    <row r="169" customFormat="false" ht="21.75" hidden="false" customHeight="true" outlineLevel="0" collapsed="false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52" t="str">
        <f aca="true">IF(OR(R169="",R169=0),"",EDATE(TODAY(),R169))</f>
        <v/>
      </c>
      <c r="T169" s="42"/>
    </row>
    <row r="170" customFormat="false" ht="21.75" hidden="false" customHeight="true" outlineLevel="0" collapsed="false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51" t="str">
        <f aca="true">IF(OR(R170="",R170=0),"",EDATE(TODAY(),R170))</f>
        <v/>
      </c>
      <c r="T170" s="37"/>
    </row>
    <row r="171" customFormat="false" ht="21.75" hidden="false" customHeight="true" outlineLevel="0" collapsed="false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52" t="str">
        <f aca="true">IF(OR(R171="",R171=0),"",EDATE(TODAY(),R171))</f>
        <v/>
      </c>
      <c r="T171" s="42"/>
    </row>
    <row r="172" customFormat="false" ht="21.75" hidden="false" customHeight="true" outlineLevel="0" collapsed="false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51" t="str">
        <f aca="true">IF(OR(R172="",R172=0),"",EDATE(TODAY(),R172))</f>
        <v/>
      </c>
      <c r="T172" s="37"/>
    </row>
    <row r="173" customFormat="false" ht="21.75" hidden="false" customHeight="true" outlineLevel="0" collapsed="false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52" t="str">
        <f aca="true">IF(OR(R173="",R173=0),"",EDATE(TODAY(),R173))</f>
        <v/>
      </c>
      <c r="T173" s="42"/>
    </row>
    <row r="174" customFormat="false" ht="21.75" hidden="false" customHeight="true" outlineLevel="0" collapsed="false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51" t="str">
        <f aca="true">IF(OR(R174="",R174=0),"",EDATE(TODAY(),R174))</f>
        <v/>
      </c>
      <c r="T174" s="37"/>
    </row>
    <row r="175" customFormat="false" ht="21.75" hidden="false" customHeight="true" outlineLevel="0" collapsed="false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52" t="str">
        <f aca="true">IF(OR(R175="",R175=0),"",EDATE(TODAY(),R175))</f>
        <v/>
      </c>
      <c r="T175" s="42"/>
    </row>
    <row r="176" customFormat="false" ht="21.75" hidden="false" customHeight="true" outlineLevel="0" collapsed="false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51" t="str">
        <f aca="true">IF(OR(R176="",R176=0),"",EDATE(TODAY(),R176))</f>
        <v/>
      </c>
      <c r="T176" s="37"/>
    </row>
    <row r="177" customFormat="false" ht="21.75" hidden="false" customHeight="true" outlineLevel="0" collapsed="false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52" t="str">
        <f aca="true">IF(OR(R177="",R177=0),"",EDATE(TODAY(),R177))</f>
        <v/>
      </c>
      <c r="T177" s="42"/>
    </row>
    <row r="178" customFormat="false" ht="21.75" hidden="false" customHeight="true" outlineLevel="0" collapsed="false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51" t="str">
        <f aca="true">IF(OR(R178="",R178=0),"",EDATE(TODAY(),R178))</f>
        <v/>
      </c>
      <c r="T178" s="37"/>
    </row>
    <row r="179" customFormat="false" ht="21.75" hidden="false" customHeight="true" outlineLevel="0" collapsed="false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52" t="str">
        <f aca="true">IF(OR(R179="",R179=0),"",EDATE(TODAY(),R179))</f>
        <v/>
      </c>
      <c r="T179" s="42"/>
    </row>
    <row r="180" customFormat="false" ht="21.75" hidden="false" customHeight="true" outlineLevel="0" collapsed="false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51" t="str">
        <f aca="true">IF(OR(R180="",R180=0),"",EDATE(TODAY(),R180))</f>
        <v/>
      </c>
      <c r="T180" s="37"/>
    </row>
    <row r="181" customFormat="false" ht="21.75" hidden="false" customHeight="true" outlineLevel="0" collapsed="false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52" t="str">
        <f aca="true">IF(OR(R181="",R181=0),"",EDATE(TODAY(),R181))</f>
        <v/>
      </c>
      <c r="T181" s="42"/>
    </row>
    <row r="182" customFormat="false" ht="21.75" hidden="false" customHeight="true" outlineLevel="0" collapsed="false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51" t="str">
        <f aca="true">IF(OR(R182="",R182=0),"",EDATE(TODAY(),R182))</f>
        <v/>
      </c>
      <c r="T182" s="37"/>
    </row>
    <row r="183" customFormat="false" ht="21.75" hidden="false" customHeight="true" outlineLevel="0" collapsed="false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52" t="str">
        <f aca="true">IF(OR(R183="",R183=0),"",EDATE(TODAY(),R183))</f>
        <v/>
      </c>
      <c r="T183" s="42"/>
    </row>
    <row r="184" customFormat="false" ht="21.75" hidden="false" customHeight="true" outlineLevel="0" collapsed="false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51" t="str">
        <f aca="true">IF(OR(R184="",R184=0),"",EDATE(TODAY(),R184))</f>
        <v/>
      </c>
      <c r="T184" s="37"/>
    </row>
    <row r="185" customFormat="false" ht="21.75" hidden="false" customHeight="true" outlineLevel="0" collapsed="false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52" t="str">
        <f aca="true">IF(OR(R185="",R185=0),"",EDATE(TODAY(),R185))</f>
        <v/>
      </c>
      <c r="T185" s="42"/>
    </row>
    <row r="186" customFormat="false" ht="21.75" hidden="false" customHeight="true" outlineLevel="0" collapsed="false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51" t="str">
        <f aca="true">IF(OR(R186="",R186=0),"",EDATE(TODAY(),R186))</f>
        <v/>
      </c>
      <c r="T186" s="37"/>
    </row>
    <row r="187" customFormat="false" ht="21.75" hidden="false" customHeight="true" outlineLevel="0" collapsed="false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52" t="str">
        <f aca="true">IF(OR(R187="",R187=0),"",EDATE(TODAY(),R187))</f>
        <v/>
      </c>
      <c r="T187" s="42"/>
    </row>
    <row r="188" customFormat="false" ht="21.75" hidden="false" customHeight="true" outlineLevel="0" collapsed="false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51" t="str">
        <f aca="true">IF(OR(R188="",R188=0),"",EDATE(TODAY(),R188))</f>
        <v/>
      </c>
      <c r="T188" s="37"/>
    </row>
    <row r="189" customFormat="false" ht="21.75" hidden="false" customHeight="true" outlineLevel="0" collapsed="false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52" t="str">
        <f aca="true">IF(OR(R189="",R189=0),"",EDATE(TODAY(),R189))</f>
        <v/>
      </c>
      <c r="T189" s="42"/>
    </row>
    <row r="190" customFormat="false" ht="21.75" hidden="false" customHeight="true" outlineLevel="0" collapsed="false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51" t="str">
        <f aca="true">IF(OR(R190="",R190=0),"",EDATE(TODAY(),R190))</f>
        <v/>
      </c>
      <c r="T190" s="37"/>
    </row>
    <row r="191" customFormat="false" ht="21.75" hidden="false" customHeight="true" outlineLevel="0" collapsed="false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52" t="str">
        <f aca="true">IF(OR(R191="",R191=0),"",EDATE(TODAY(),R191))</f>
        <v/>
      </c>
      <c r="T191" s="42"/>
    </row>
    <row r="192" customFormat="false" ht="21.75" hidden="false" customHeight="true" outlineLevel="0" collapsed="false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51" t="str">
        <f aca="true">IF(OR(R192="",R192=0),"",EDATE(TODAY(),R192))</f>
        <v/>
      </c>
      <c r="T192" s="37"/>
    </row>
    <row r="193" customFormat="false" ht="21.75" hidden="false" customHeight="true" outlineLevel="0" collapsed="false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52" t="str">
        <f aca="true">IF(OR(R193="",R193=0),"",EDATE(TODAY(),R193))</f>
        <v/>
      </c>
      <c r="T193" s="42"/>
    </row>
    <row r="194" customFormat="false" ht="21.75" hidden="false" customHeight="true" outlineLevel="0" collapsed="false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51" t="str">
        <f aca="true">IF(OR(R194="",R194=0),"",EDATE(TODAY(),R194))</f>
        <v/>
      </c>
      <c r="T194" s="37"/>
    </row>
    <row r="195" customFormat="false" ht="21.75" hidden="false" customHeight="true" outlineLevel="0" collapsed="false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52" t="str">
        <f aca="true">IF(OR(R195="",R195=0),"",EDATE(TODAY(),R195))</f>
        <v/>
      </c>
      <c r="T195" s="42"/>
    </row>
    <row r="196" customFormat="false" ht="21.75" hidden="false" customHeight="true" outlineLevel="0" collapsed="false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51" t="str">
        <f aca="true">IF(OR(R196="",R196=0),"",EDATE(TODAY(),R196))</f>
        <v/>
      </c>
      <c r="T196" s="37"/>
    </row>
    <row r="197" customFormat="false" ht="21.75" hidden="false" customHeight="true" outlineLevel="0" collapsed="false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52" t="str">
        <f aca="true">IF(OR(R197="",R197=0),"",EDATE(TODAY(),R197))</f>
        <v/>
      </c>
      <c r="T197" s="42"/>
    </row>
    <row r="198" customFormat="false" ht="21.75" hidden="false" customHeight="true" outlineLevel="0" collapsed="false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51" t="str">
        <f aca="true">IF(OR(R198="",R198=0),"",EDATE(TODAY(),R198))</f>
        <v/>
      </c>
      <c r="T198" s="37"/>
    </row>
    <row r="199" customFormat="false" ht="21.75" hidden="false" customHeight="true" outlineLevel="0" collapsed="false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52" t="str">
        <f aca="true">IF(OR(R199="",R199=0),"",EDATE(TODAY(),R199))</f>
        <v/>
      </c>
      <c r="T199" s="42"/>
    </row>
    <row r="200" customFormat="false" ht="21.75" hidden="false" customHeight="true" outlineLevel="0" collapsed="false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51" t="str">
        <f aca="true">IF(OR(R200="",R200=0),"",EDATE(TODAY(),R200))</f>
        <v/>
      </c>
      <c r="T200" s="37"/>
    </row>
    <row r="201" customFormat="false" ht="21.75" hidden="false" customHeight="true" outlineLevel="0" collapsed="false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52" t="str">
        <f aca="true">IF(OR(R201="",R201=0),"",EDATE(TODAY(),R201))</f>
        <v/>
      </c>
      <c r="T201" s="42"/>
    </row>
    <row r="202" customFormat="false" ht="21.75" hidden="false" customHeight="true" outlineLevel="0" collapsed="false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51" t="str">
        <f aca="true">IF(OR(R202="",R202=0),"",EDATE(TODAY(),R202))</f>
        <v/>
      </c>
      <c r="T202" s="37"/>
    </row>
    <row r="203" customFormat="false" ht="21.75" hidden="false" customHeight="true" outlineLevel="0" collapsed="false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52" t="str">
        <f aca="true">IF(OR(R203="",R203=0),"",EDATE(TODAY(),R203))</f>
        <v/>
      </c>
      <c r="T203" s="42"/>
    </row>
    <row r="204" customFormat="false" ht="21.75" hidden="false" customHeight="true" outlineLevel="0" collapsed="false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51" t="str">
        <f aca="true">IF(OR(R204="",R204=0),"",EDATE(TODAY(),R204))</f>
        <v/>
      </c>
      <c r="T204" s="37"/>
    </row>
    <row r="205" customFormat="false" ht="21.75" hidden="false" customHeight="true" outlineLevel="0" collapsed="false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52" t="str">
        <f aca="true">IF(OR(R205="",R205=0),"",EDATE(TODAY(),R205))</f>
        <v/>
      </c>
      <c r="T205" s="42"/>
    </row>
    <row r="206" customFormat="false" ht="21.75" hidden="false" customHeight="true" outlineLevel="0" collapsed="false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51" t="str">
        <f aca="true">IF(OR(R206="",R206=0),"",EDATE(TODAY(),R206))</f>
        <v/>
      </c>
      <c r="T206" s="37"/>
    </row>
    <row r="207" customFormat="false" ht="21.75" hidden="false" customHeight="true" outlineLevel="0" collapsed="false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52" t="str">
        <f aca="true">IF(OR(R207="",R207=0),"",EDATE(TODAY(),R207))</f>
        <v/>
      </c>
      <c r="T207" s="42"/>
    </row>
    <row r="208" customFormat="false" ht="21.75" hidden="false" customHeight="true" outlineLevel="0" collapsed="false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51" t="str">
        <f aca="true">IF(OR(R208="",R208=0),"",EDATE(TODAY(),R208))</f>
        <v/>
      </c>
      <c r="T208" s="37"/>
    </row>
    <row r="209" customFormat="false" ht="21.75" hidden="false" customHeight="true" outlineLevel="0" collapsed="false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52" t="str">
        <f aca="true">IF(OR(R209="",R209=0),"",EDATE(TODAY(),R209))</f>
        <v/>
      </c>
      <c r="T209" s="42"/>
    </row>
    <row r="210" customFormat="false" ht="21.75" hidden="false" customHeight="true" outlineLevel="0" collapsed="false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51" t="str">
        <f aca="true">IF(OR(R210="",R210=0),"",EDATE(TODAY(),R210))</f>
        <v/>
      </c>
      <c r="T210" s="37"/>
    </row>
    <row r="211" customFormat="false" ht="21.75" hidden="false" customHeight="true" outlineLevel="0" collapsed="false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52" t="str">
        <f aca="true">IF(OR(R211="",R211=0),"",EDATE(TODAY(),R211))</f>
        <v/>
      </c>
      <c r="T211" s="42"/>
    </row>
    <row r="212" customFormat="false" ht="21.75" hidden="false" customHeight="true" outlineLevel="0" collapsed="false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51" t="str">
        <f aca="true">IF(OR(R212="",R212=0),"",EDATE(TODAY(),R212))</f>
        <v/>
      </c>
      <c r="T212" s="37"/>
    </row>
    <row r="213" customFormat="false" ht="21.75" hidden="false" customHeight="true" outlineLevel="0" collapsed="false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52" t="str">
        <f aca="true">IF(OR(R213="",R213=0),"",EDATE(TODAY(),R213))</f>
        <v/>
      </c>
      <c r="T213" s="42"/>
    </row>
    <row r="214" customFormat="false" ht="21.75" hidden="false" customHeight="true" outlineLevel="0" collapsed="false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51" t="str">
        <f aca="true">IF(OR(R214="",R214=0),"",EDATE(TODAY(),R214))</f>
        <v/>
      </c>
      <c r="T214" s="37"/>
    </row>
    <row r="215" customFormat="false" ht="21.75" hidden="false" customHeight="true" outlineLevel="0" collapsed="false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52" t="str">
        <f aca="true">IF(OR(R215="",R215=0),"",EDATE(TODAY(),R215))</f>
        <v/>
      </c>
      <c r="T215" s="42"/>
    </row>
    <row r="216" customFormat="false" ht="21.75" hidden="false" customHeight="true" outlineLevel="0" collapsed="false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51" t="str">
        <f aca="true">IF(OR(R216="",R216=0),"",EDATE(TODAY(),R216))</f>
        <v/>
      </c>
      <c r="T216" s="37"/>
    </row>
    <row r="217" customFormat="false" ht="21.75" hidden="false" customHeight="true" outlineLevel="0" collapsed="false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52" t="str">
        <f aca="true">IF(OR(R217="",R217=0),"",EDATE(TODAY(),R217))</f>
        <v/>
      </c>
      <c r="T217" s="42"/>
    </row>
    <row r="218" customFormat="false" ht="21.75" hidden="false" customHeight="true" outlineLevel="0" collapsed="false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51" t="str">
        <f aca="true">IF(OR(R218="",R218=0),"",EDATE(TODAY(),R218))</f>
        <v/>
      </c>
      <c r="T218" s="37"/>
    </row>
    <row r="219" customFormat="false" ht="21.75" hidden="false" customHeight="true" outlineLevel="0" collapsed="false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52" t="str">
        <f aca="true">IF(OR(R219="",R219=0),"",EDATE(TODAY(),R219))</f>
        <v/>
      </c>
      <c r="T219" s="42"/>
    </row>
    <row r="220" customFormat="false" ht="21.75" hidden="false" customHeight="true" outlineLevel="0" collapsed="false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51" t="str">
        <f aca="true">IF(OR(R220="",R220=0),"",EDATE(TODAY(),R220))</f>
        <v/>
      </c>
      <c r="T220" s="37"/>
    </row>
    <row r="221" customFormat="false" ht="21.75" hidden="false" customHeight="true" outlineLevel="0" collapsed="false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52" t="str">
        <f aca="true">IF(OR(R221="",R221=0),"",EDATE(TODAY(),R221))</f>
        <v/>
      </c>
      <c r="T221" s="42"/>
    </row>
    <row r="222" customFormat="false" ht="21.75" hidden="false" customHeight="true" outlineLevel="0" collapsed="false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51" t="str">
        <f aca="true">IF(OR(R222="",R222=0),"",EDATE(TODAY(),R222))</f>
        <v/>
      </c>
      <c r="T222" s="37"/>
    </row>
    <row r="223" customFormat="false" ht="21.75" hidden="false" customHeight="true" outlineLevel="0" collapsed="false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52" t="str">
        <f aca="true">IF(OR(R223="",R223=0),"",EDATE(TODAY(),R223))</f>
        <v/>
      </c>
      <c r="T223" s="42"/>
    </row>
    <row r="224" customFormat="false" ht="21.75" hidden="false" customHeight="true" outlineLevel="0" collapsed="false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51" t="str">
        <f aca="true">IF(OR(R224="",R224=0),"",EDATE(TODAY(),R224))</f>
        <v/>
      </c>
      <c r="T224" s="37"/>
    </row>
    <row r="225" customFormat="false" ht="21.75" hidden="false" customHeight="true" outlineLevel="0" collapsed="false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52" t="str">
        <f aca="true">IF(OR(R225="",R225=0),"",EDATE(TODAY(),R225))</f>
        <v/>
      </c>
      <c r="T225" s="42"/>
    </row>
    <row r="226" customFormat="false" ht="21.75" hidden="false" customHeight="true" outlineLevel="0" collapsed="false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51" t="str">
        <f aca="true">IF(OR(R226="",R226=0),"",EDATE(TODAY(),R226))</f>
        <v/>
      </c>
      <c r="T226" s="37"/>
    </row>
    <row r="227" customFormat="false" ht="21.75" hidden="false" customHeight="true" outlineLevel="0" collapsed="false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52" t="str">
        <f aca="true">IF(OR(R227="",R227=0),"",EDATE(TODAY(),R227))</f>
        <v/>
      </c>
      <c r="T227" s="42"/>
    </row>
    <row r="228" customFormat="false" ht="21.75" hidden="false" customHeight="true" outlineLevel="0" collapsed="false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51" t="str">
        <f aca="true">IF(OR(R228="",R228=0),"",EDATE(TODAY(),R228))</f>
        <v/>
      </c>
      <c r="T228" s="37"/>
    </row>
    <row r="229" customFormat="false" ht="21.75" hidden="false" customHeight="true" outlineLevel="0" collapsed="false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52" t="str">
        <f aca="true">IF(OR(R229="",R229=0),"",EDATE(TODAY(),R229))</f>
        <v/>
      </c>
      <c r="T229" s="42"/>
    </row>
    <row r="230" customFormat="false" ht="21.75" hidden="false" customHeight="true" outlineLevel="0" collapsed="false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51" t="str">
        <f aca="true">IF(OR(R230="",R230=0),"",EDATE(TODAY(),R230))</f>
        <v/>
      </c>
      <c r="T230" s="37"/>
    </row>
    <row r="231" customFormat="false" ht="21.75" hidden="false" customHeight="true" outlineLevel="0" collapsed="false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52" t="str">
        <f aca="true">IF(OR(R231="",R231=0),"",EDATE(TODAY(),R231))</f>
        <v/>
      </c>
      <c r="T231" s="42"/>
    </row>
    <row r="232" customFormat="false" ht="21.75" hidden="false" customHeight="true" outlineLevel="0" collapsed="false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51" t="str">
        <f aca="true">IF(OR(R232="",R232=0),"",EDATE(TODAY(),R232))</f>
        <v/>
      </c>
      <c r="T232" s="37"/>
    </row>
    <row r="233" customFormat="false" ht="21.75" hidden="false" customHeight="true" outlineLevel="0" collapsed="false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52" t="str">
        <f aca="true">IF(OR(R233="",R233=0),"",EDATE(TODAY(),R233))</f>
        <v/>
      </c>
      <c r="T233" s="42"/>
    </row>
    <row r="234" customFormat="false" ht="21.75" hidden="false" customHeight="true" outlineLevel="0" collapsed="false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51" t="str">
        <f aca="true">IF(OR(R234="",R234=0),"",EDATE(TODAY(),R234))</f>
        <v/>
      </c>
      <c r="T234" s="37"/>
    </row>
    <row r="235" customFormat="false" ht="21.75" hidden="false" customHeight="true" outlineLevel="0" collapsed="false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52" t="str">
        <f aca="true">IF(OR(R235="",R235=0),"",EDATE(TODAY(),R235))</f>
        <v/>
      </c>
      <c r="T235" s="42"/>
    </row>
    <row r="236" customFormat="false" ht="21.75" hidden="false" customHeight="true" outlineLevel="0" collapsed="false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51" t="str">
        <f aca="true">IF(OR(R236="",R236=0),"",EDATE(TODAY(),R236))</f>
        <v/>
      </c>
      <c r="T236" s="37"/>
    </row>
    <row r="237" customFormat="false" ht="21.75" hidden="false" customHeight="true" outlineLevel="0" collapsed="false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52" t="str">
        <f aca="true">IF(OR(R237="",R237=0),"",EDATE(TODAY(),R237))</f>
        <v/>
      </c>
      <c r="T237" s="42"/>
    </row>
    <row r="238" customFormat="false" ht="21.75" hidden="false" customHeight="true" outlineLevel="0" collapsed="false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51" t="str">
        <f aca="true">IF(OR(R238="",R238=0),"",EDATE(TODAY(),R238))</f>
        <v/>
      </c>
      <c r="T238" s="37"/>
    </row>
    <row r="239" customFormat="false" ht="21.75" hidden="false" customHeight="true" outlineLevel="0" collapsed="false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52" t="str">
        <f aca="true">IF(OR(R239="",R239=0),"",EDATE(TODAY(),R239))</f>
        <v/>
      </c>
      <c r="T239" s="42"/>
    </row>
    <row r="240" customFormat="false" ht="21.75" hidden="false" customHeight="true" outlineLevel="0" collapsed="false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51" t="str">
        <f aca="true">IF(OR(R240="",R240=0),"",EDATE(TODAY(),R240))</f>
        <v/>
      </c>
      <c r="T240" s="37"/>
    </row>
    <row r="241" customFormat="false" ht="21.75" hidden="false" customHeight="true" outlineLevel="0" collapsed="false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52" t="str">
        <f aca="true">IF(OR(R241="",R241=0),"",EDATE(TODAY(),R241))</f>
        <v/>
      </c>
      <c r="T241" s="42"/>
    </row>
    <row r="242" customFormat="false" ht="21.75" hidden="false" customHeight="true" outlineLevel="0" collapsed="false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51" t="str">
        <f aca="true">IF(OR(R242="",R242=0),"",EDATE(TODAY(),R242))</f>
        <v/>
      </c>
      <c r="T242" s="37"/>
    </row>
    <row r="243" customFormat="false" ht="21.75" hidden="false" customHeight="true" outlineLevel="0" collapsed="false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52" t="str">
        <f aca="true">IF(OR(R243="",R243=0),"",EDATE(TODAY(),R243))</f>
        <v/>
      </c>
      <c r="T243" s="42"/>
    </row>
    <row r="244" customFormat="false" ht="21.75" hidden="false" customHeight="true" outlineLevel="0" collapsed="false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51" t="str">
        <f aca="true">IF(OR(R244="",R244=0),"",EDATE(TODAY(),R244))</f>
        <v/>
      </c>
      <c r="T244" s="37"/>
    </row>
    <row r="245" customFormat="false" ht="21.75" hidden="false" customHeight="true" outlineLevel="0" collapsed="false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52" t="str">
        <f aca="true">IF(OR(R245="",R245=0),"",EDATE(TODAY(),R245))</f>
        <v/>
      </c>
      <c r="T245" s="42"/>
    </row>
    <row r="246" customFormat="false" ht="21.75" hidden="false" customHeight="true" outlineLevel="0" collapsed="false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51" t="str">
        <f aca="true">IF(OR(R246="",R246=0),"",EDATE(TODAY(),R246))</f>
        <v/>
      </c>
      <c r="T246" s="37"/>
    </row>
    <row r="247" customFormat="false" ht="21.75" hidden="false" customHeight="true" outlineLevel="0" collapsed="false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52" t="str">
        <f aca="true">IF(OR(R247="",R247=0),"",EDATE(TODAY(),R247))</f>
        <v/>
      </c>
      <c r="T247" s="42"/>
    </row>
    <row r="248" customFormat="false" ht="21.75" hidden="false" customHeight="true" outlineLevel="0" collapsed="false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51" t="str">
        <f aca="true">IF(OR(R248="",R248=0),"",EDATE(TODAY(),R248))</f>
        <v/>
      </c>
      <c r="T248" s="37"/>
    </row>
    <row r="249" customFormat="false" ht="21.75" hidden="false" customHeight="true" outlineLevel="0" collapsed="false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52" t="str">
        <f aca="true">IF(OR(R249="",R249=0),"",EDATE(TODAY(),R249))</f>
        <v/>
      </c>
      <c r="T249" s="42"/>
    </row>
    <row r="250" customFormat="false" ht="21.75" hidden="false" customHeight="true" outlineLevel="0" collapsed="false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51" t="str">
        <f aca="true">IF(OR(R250="",R250=0),"",EDATE(TODAY(),R250))</f>
        <v/>
      </c>
      <c r="T250" s="37"/>
    </row>
    <row r="251" customFormat="false" ht="21.75" hidden="false" customHeight="true" outlineLevel="0" collapsed="false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52" t="str">
        <f aca="true">IF(OR(R251="",R251=0),"",EDATE(TODAY(),R251))</f>
        <v/>
      </c>
      <c r="T251" s="42"/>
    </row>
    <row r="252" customFormat="false" ht="21.75" hidden="false" customHeight="true" outlineLevel="0" collapsed="false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51" t="str">
        <f aca="true">IF(OR(R252="",R252=0),"",EDATE(TODAY(),R252))</f>
        <v/>
      </c>
      <c r="T252" s="37"/>
    </row>
    <row r="253" customFormat="false" ht="21.75" hidden="false" customHeight="true" outlineLevel="0" collapsed="false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52" t="str">
        <f aca="true">IF(OR(R253="",R253=0),"",EDATE(TODAY(),R253))</f>
        <v/>
      </c>
      <c r="T253" s="42"/>
    </row>
    <row r="254" customFormat="false" ht="21.75" hidden="false" customHeight="true" outlineLevel="0" collapsed="false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51" t="str">
        <f aca="true">IF(OR(R254="",R254=0),"",EDATE(TODAY(),R254))</f>
        <v/>
      </c>
      <c r="T254" s="37"/>
    </row>
    <row r="255" customFormat="false" ht="21.75" hidden="false" customHeight="true" outlineLevel="0" collapsed="false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52" t="str">
        <f aca="true">IF(OR(R255="",R255=0),"",EDATE(TODAY(),R255))</f>
        <v/>
      </c>
      <c r="T255" s="42"/>
    </row>
    <row r="256" customFormat="false" ht="21.75" hidden="false" customHeight="true" outlineLevel="0" collapsed="false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51" t="str">
        <f aca="true">IF(OR(R256="",R256=0),"",EDATE(TODAY(),R256))</f>
        <v/>
      </c>
      <c r="T256" s="37"/>
    </row>
    <row r="257" customFormat="false" ht="21.75" hidden="false" customHeight="true" outlineLevel="0" collapsed="false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52" t="str">
        <f aca="true">IF(OR(R257="",R257=0),"",EDATE(TODAY(),R257))</f>
        <v/>
      </c>
      <c r="T257" s="42"/>
    </row>
    <row r="258" customFormat="false" ht="21.75" hidden="false" customHeight="true" outlineLevel="0" collapsed="false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51" t="str">
        <f aca="true">IF(OR(R258="",R258=0),"",EDATE(TODAY(),R258))</f>
        <v/>
      </c>
      <c r="T258" s="37"/>
    </row>
    <row r="259" customFormat="false" ht="21.75" hidden="false" customHeight="true" outlineLevel="0" collapsed="false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52" t="str">
        <f aca="true">IF(OR(R259="",R259=0),"",EDATE(TODAY(),R259))</f>
        <v/>
      </c>
      <c r="T259" s="42"/>
    </row>
    <row r="260" customFormat="false" ht="21.75" hidden="false" customHeight="true" outlineLevel="0" collapsed="false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51" t="str">
        <f aca="true">IF(OR(R260="",R260=0),"",EDATE(TODAY(),R260))</f>
        <v/>
      </c>
      <c r="T260" s="37"/>
    </row>
    <row r="261" customFormat="false" ht="21.75" hidden="false" customHeight="true" outlineLevel="0" collapsed="false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52" t="str">
        <f aca="true">IF(OR(R261="",R261=0),"",EDATE(TODAY(),R261))</f>
        <v/>
      </c>
      <c r="T261" s="42"/>
    </row>
    <row r="262" customFormat="false" ht="21.75" hidden="false" customHeight="true" outlineLevel="0" collapsed="false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51" t="str">
        <f aca="true">IF(OR(R262="",R262=0),"",EDATE(TODAY(),R262))</f>
        <v/>
      </c>
      <c r="T262" s="37"/>
    </row>
    <row r="263" customFormat="false" ht="21.75" hidden="false" customHeight="true" outlineLevel="0" collapsed="false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52" t="str">
        <f aca="true">IF(OR(R263="",R263=0),"",EDATE(TODAY(),R263))</f>
        <v/>
      </c>
      <c r="T263" s="42"/>
    </row>
    <row r="264" customFormat="false" ht="21.75" hidden="false" customHeight="true" outlineLevel="0" collapsed="false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51" t="str">
        <f aca="true">IF(OR(R264="",R264=0),"",EDATE(TODAY(),R264))</f>
        <v/>
      </c>
      <c r="T264" s="37"/>
    </row>
    <row r="265" customFormat="false" ht="21.75" hidden="false" customHeight="true" outlineLevel="0" collapsed="false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52" t="str">
        <f aca="true">IF(OR(R265="",R265=0),"",EDATE(TODAY(),R265))</f>
        <v/>
      </c>
      <c r="T265" s="42"/>
    </row>
    <row r="266" customFormat="false" ht="21.75" hidden="false" customHeight="true" outlineLevel="0" collapsed="false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51" t="str">
        <f aca="true">IF(OR(R266="",R266=0),"",EDATE(TODAY(),R266))</f>
        <v/>
      </c>
      <c r="T266" s="37"/>
    </row>
    <row r="267" customFormat="false" ht="21.75" hidden="false" customHeight="true" outlineLevel="0" collapsed="false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52" t="str">
        <f aca="true">IF(OR(R267="",R267=0),"",EDATE(TODAY(),R267))</f>
        <v/>
      </c>
      <c r="T267" s="42"/>
    </row>
    <row r="268" customFormat="false" ht="21.75" hidden="false" customHeight="true" outlineLevel="0" collapsed="false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51" t="str">
        <f aca="true">IF(OR(R268="",R268=0),"",EDATE(TODAY(),R268))</f>
        <v/>
      </c>
      <c r="T268" s="37"/>
    </row>
    <row r="269" customFormat="false" ht="21.75" hidden="false" customHeight="true" outlineLevel="0" collapsed="false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52" t="str">
        <f aca="true">IF(OR(R269="",R269=0),"",EDATE(TODAY(),R269))</f>
        <v/>
      </c>
      <c r="T269" s="42"/>
    </row>
    <row r="270" customFormat="false" ht="21.75" hidden="false" customHeight="true" outlineLevel="0" collapsed="false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51" t="str">
        <f aca="true">IF(OR(R270="",R270=0),"",EDATE(TODAY(),R270))</f>
        <v/>
      </c>
      <c r="T270" s="37"/>
    </row>
    <row r="271" customFormat="false" ht="21.75" hidden="false" customHeight="true" outlineLevel="0" collapsed="false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52" t="str">
        <f aca="true">IF(OR(R271="",R271=0),"",EDATE(TODAY(),R271))</f>
        <v/>
      </c>
      <c r="T271" s="42"/>
    </row>
    <row r="272" customFormat="false" ht="21.75" hidden="false" customHeight="true" outlineLevel="0" collapsed="false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51" t="str">
        <f aca="true">IF(OR(R272="",R272=0),"",EDATE(TODAY(),R272))</f>
        <v/>
      </c>
      <c r="T272" s="37"/>
    </row>
    <row r="273" customFormat="false" ht="21.75" hidden="false" customHeight="true" outlineLevel="0" collapsed="false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52" t="str">
        <f aca="true">IF(OR(R273="",R273=0),"",EDATE(TODAY(),R273))</f>
        <v/>
      </c>
      <c r="T273" s="42"/>
    </row>
    <row r="274" customFormat="false" ht="21.75" hidden="false" customHeight="true" outlineLevel="0" collapsed="false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51" t="str">
        <f aca="true">IF(OR(R274="",R274=0),"",EDATE(TODAY(),R274))</f>
        <v/>
      </c>
      <c r="T274" s="37"/>
    </row>
    <row r="275" customFormat="false" ht="21.75" hidden="false" customHeight="true" outlineLevel="0" collapsed="false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52" t="str">
        <f aca="true">IF(OR(R275="",R275=0),"",EDATE(TODAY(),R275))</f>
        <v/>
      </c>
      <c r="T275" s="42"/>
    </row>
    <row r="276" customFormat="false" ht="21.75" hidden="false" customHeight="true" outlineLevel="0" collapsed="false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51" t="str">
        <f aca="true">IF(OR(R276="",R276=0),"",EDATE(TODAY(),R276))</f>
        <v/>
      </c>
      <c r="T276" s="37"/>
    </row>
    <row r="277" customFormat="false" ht="21.75" hidden="false" customHeight="true" outlineLevel="0" collapsed="false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52" t="str">
        <f aca="true">IF(OR(R277="",R277=0),"",EDATE(TODAY(),R277))</f>
        <v/>
      </c>
      <c r="T277" s="42"/>
    </row>
    <row r="278" customFormat="false" ht="21.75" hidden="false" customHeight="true" outlineLevel="0" collapsed="false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51" t="str">
        <f aca="true">IF(OR(R278="",R278=0),"",EDATE(TODAY(),R278))</f>
        <v/>
      </c>
      <c r="T278" s="37"/>
    </row>
    <row r="279" customFormat="false" ht="21.75" hidden="false" customHeight="true" outlineLevel="0" collapsed="false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52" t="str">
        <f aca="true">IF(OR(R279="",R279=0),"",EDATE(TODAY(),R279))</f>
        <v/>
      </c>
      <c r="T279" s="42"/>
    </row>
    <row r="280" customFormat="false" ht="21.75" hidden="false" customHeight="true" outlineLevel="0" collapsed="false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51" t="str">
        <f aca="true">IF(OR(R280="",R280=0),"",EDATE(TODAY(),R280))</f>
        <v/>
      </c>
      <c r="T280" s="37"/>
    </row>
    <row r="281" customFormat="false" ht="21.75" hidden="false" customHeight="true" outlineLevel="0" collapsed="false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52" t="str">
        <f aca="true">IF(OR(R281="",R281=0),"",EDATE(TODAY(),R281))</f>
        <v/>
      </c>
      <c r="T281" s="42"/>
    </row>
    <row r="282" customFormat="false" ht="21.75" hidden="false" customHeight="true" outlineLevel="0" collapsed="false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51" t="str">
        <f aca="true">IF(OR(R282="",R282=0),"",EDATE(TODAY(),R282))</f>
        <v/>
      </c>
      <c r="T282" s="37"/>
    </row>
    <row r="283" customFormat="false" ht="21.75" hidden="false" customHeight="true" outlineLevel="0" collapsed="false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52" t="str">
        <f aca="true">IF(OR(R283="",R283=0),"",EDATE(TODAY(),R283))</f>
        <v/>
      </c>
      <c r="T283" s="42"/>
    </row>
    <row r="284" customFormat="false" ht="21.75" hidden="false" customHeight="true" outlineLevel="0" collapsed="false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51" t="str">
        <f aca="true">IF(OR(R284="",R284=0),"",EDATE(TODAY(),R284))</f>
        <v/>
      </c>
      <c r="T284" s="37"/>
    </row>
    <row r="285" customFormat="false" ht="21.75" hidden="false" customHeight="true" outlineLevel="0" collapsed="false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52" t="str">
        <f aca="true">IF(OR(R285="",R285=0),"",EDATE(TODAY(),R285))</f>
        <v/>
      </c>
      <c r="T285" s="42"/>
    </row>
    <row r="286" customFormat="false" ht="21.75" hidden="false" customHeight="true" outlineLevel="0" collapsed="false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51" t="str">
        <f aca="true">IF(OR(R286="",R286=0),"",EDATE(TODAY(),R286))</f>
        <v/>
      </c>
      <c r="T286" s="37"/>
    </row>
    <row r="287" customFormat="false" ht="21.75" hidden="false" customHeight="true" outlineLevel="0" collapsed="false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52" t="str">
        <f aca="true">IF(OR(R287="",R287=0),"",EDATE(TODAY(),R287))</f>
        <v/>
      </c>
      <c r="T287" s="42"/>
    </row>
    <row r="288" customFormat="false" ht="21.75" hidden="false" customHeight="true" outlineLevel="0" collapsed="false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51" t="str">
        <f aca="true">IF(OR(R288="",R288=0),"",EDATE(TODAY(),R288))</f>
        <v/>
      </c>
      <c r="T288" s="37"/>
    </row>
    <row r="289" customFormat="false" ht="21.75" hidden="false" customHeight="true" outlineLevel="0" collapsed="false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52" t="str">
        <f aca="true">IF(OR(R289="",R289=0),"",EDATE(TODAY(),R289))</f>
        <v/>
      </c>
      <c r="T289" s="42"/>
    </row>
    <row r="290" customFormat="false" ht="21.75" hidden="false" customHeight="true" outlineLevel="0" collapsed="false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51" t="str">
        <f aca="true">IF(OR(R290="",R290=0),"",EDATE(TODAY(),R290))</f>
        <v/>
      </c>
      <c r="T290" s="37"/>
    </row>
    <row r="291" customFormat="false" ht="21.75" hidden="false" customHeight="true" outlineLevel="0" collapsed="false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52" t="str">
        <f aca="true">IF(OR(R291="",R291=0),"",EDATE(TODAY(),R291))</f>
        <v/>
      </c>
      <c r="T291" s="42"/>
    </row>
    <row r="292" customFormat="false" ht="21.75" hidden="false" customHeight="true" outlineLevel="0" collapsed="false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51" t="str">
        <f aca="true">IF(OR(R292="",R292=0),"",EDATE(TODAY(),R292))</f>
        <v/>
      </c>
      <c r="T292" s="37"/>
    </row>
    <row r="293" customFormat="false" ht="21.75" hidden="false" customHeight="true" outlineLevel="0" collapsed="false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52" t="str">
        <f aca="true">IF(OR(R293="",R293=0),"",EDATE(TODAY(),R293))</f>
        <v/>
      </c>
      <c r="T293" s="42"/>
    </row>
    <row r="294" customFormat="false" ht="21.75" hidden="false" customHeight="true" outlineLevel="0" collapsed="false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51" t="str">
        <f aca="true">IF(OR(R294="",R294=0),"",EDATE(TODAY(),R294))</f>
        <v/>
      </c>
      <c r="T294" s="37"/>
    </row>
    <row r="295" customFormat="false" ht="21.75" hidden="false" customHeight="true" outlineLevel="0" collapsed="false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52" t="str">
        <f aca="true">IF(OR(R295="",R295=0),"",EDATE(TODAY(),R295))</f>
        <v/>
      </c>
      <c r="T295" s="42"/>
    </row>
    <row r="296" customFormat="false" ht="21.75" hidden="false" customHeight="true" outlineLevel="0" collapsed="false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51" t="str">
        <f aca="true">IF(OR(R296="",R296=0),"",EDATE(TODAY(),R296))</f>
        <v/>
      </c>
      <c r="T296" s="37"/>
    </row>
    <row r="297" customFormat="false" ht="21.75" hidden="false" customHeight="true" outlineLevel="0" collapsed="false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52" t="str">
        <f aca="true">IF(OR(R297="",R297=0),"",EDATE(TODAY(),R297))</f>
        <v/>
      </c>
      <c r="T297" s="42"/>
    </row>
    <row r="298" customFormat="false" ht="21.75" hidden="false" customHeight="true" outlineLevel="0" collapsed="false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51" t="str">
        <f aca="true">IF(OR(R298="",R298=0),"",EDATE(TODAY(),R298))</f>
        <v/>
      </c>
      <c r="T298" s="37"/>
    </row>
    <row r="299" customFormat="false" ht="21.75" hidden="false" customHeight="true" outlineLevel="0" collapsed="false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52" t="str">
        <f aca="true">IF(OR(R299="",R299=0),"",EDATE(TODAY(),R299))</f>
        <v/>
      </c>
      <c r="T299" s="42"/>
    </row>
    <row r="300" customFormat="false" ht="21.75" hidden="false" customHeight="true" outlineLevel="0" collapsed="false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51" t="str">
        <f aca="true">IF(OR(R300="",R300=0),"",EDATE(TODAY(),R300))</f>
        <v/>
      </c>
      <c r="T300" s="37"/>
    </row>
    <row r="301" customFormat="false" ht="21.75" hidden="false" customHeight="true" outlineLevel="0" collapsed="false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52" t="str">
        <f aca="true">IF(OR(R301="",R301=0),"",EDATE(TODAY(),R301))</f>
        <v/>
      </c>
      <c r="T301" s="42"/>
    </row>
    <row r="302" customFormat="false" ht="21.75" hidden="false" customHeight="true" outlineLevel="0" collapsed="false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51" t="str">
        <f aca="true">IF(OR(R302="",R302=0),"",EDATE(TODAY(),R302))</f>
        <v/>
      </c>
      <c r="T302" s="37"/>
    </row>
    <row r="303" customFormat="false" ht="21.75" hidden="false" customHeight="true" outlineLevel="0" collapsed="false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52" t="str">
        <f aca="true">IF(OR(R303="",R303=0),"",EDATE(TODAY(),R303))</f>
        <v/>
      </c>
      <c r="T303" s="42"/>
    </row>
    <row r="304" customFormat="false" ht="21.75" hidden="false" customHeight="true" outlineLevel="0" collapsed="false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51" t="str">
        <f aca="true">IF(OR(R304="",R304=0),"",EDATE(TODAY(),R304))</f>
        <v/>
      </c>
      <c r="T304" s="37"/>
    </row>
    <row r="305" customFormat="false" ht="21.75" hidden="false" customHeight="true" outlineLevel="0" collapsed="false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52" t="str">
        <f aca="true">IF(OR(R305="",R305=0),"",EDATE(TODAY(),R305))</f>
        <v/>
      </c>
      <c r="T305" s="42"/>
    </row>
    <row r="306" customFormat="false" ht="21.75" hidden="false" customHeight="true" outlineLevel="0" collapsed="false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51" t="str">
        <f aca="true">IF(OR(R306="",R306=0),"",EDATE(TODAY(),R306))</f>
        <v/>
      </c>
      <c r="T306" s="37"/>
    </row>
    <row r="307" customFormat="false" ht="21.75" hidden="false" customHeight="true" outlineLevel="0" collapsed="false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52" t="str">
        <f aca="true">IF(OR(R307="",R307=0),"",EDATE(TODAY(),R307))</f>
        <v/>
      </c>
      <c r="T307" s="42"/>
    </row>
    <row r="308" customFormat="false" ht="21.75" hidden="false" customHeight="true" outlineLevel="0" collapsed="false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51" t="str">
        <f aca="true">IF(OR(R308="",R308=0),"",EDATE(TODAY(),R308))</f>
        <v/>
      </c>
      <c r="T308" s="37"/>
    </row>
    <row r="309" customFormat="false" ht="21.75" hidden="false" customHeight="true" outlineLevel="0" collapsed="false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52" t="str">
        <f aca="true">IF(OR(R309="",R309=0),"",EDATE(TODAY(),R309))</f>
        <v/>
      </c>
      <c r="T309" s="42"/>
    </row>
    <row r="310" customFormat="false" ht="21.75" hidden="false" customHeight="true" outlineLevel="0" collapsed="false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51" t="str">
        <f aca="true">IF(OR(R310="",R310=0),"",EDATE(TODAY(),R310))</f>
        <v/>
      </c>
      <c r="T310" s="37"/>
    </row>
    <row r="311" customFormat="false" ht="21.75" hidden="false" customHeight="true" outlineLevel="0" collapsed="false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52" t="str">
        <f aca="true">IF(OR(R311="",R311=0),"",EDATE(TODAY(),R311))</f>
        <v/>
      </c>
      <c r="T311" s="42"/>
    </row>
    <row r="312" customFormat="false" ht="21.75" hidden="false" customHeight="true" outlineLevel="0" collapsed="false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51" t="str">
        <f aca="true">IF(OR(R312="",R312=0),"",EDATE(TODAY(),R312))</f>
        <v/>
      </c>
      <c r="T312" s="37"/>
    </row>
    <row r="313" customFormat="false" ht="21.75" hidden="false" customHeight="true" outlineLevel="0" collapsed="false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52" t="str">
        <f aca="true">IF(OR(R313="",R313=0),"",EDATE(TODAY(),R313))</f>
        <v/>
      </c>
      <c r="T313" s="42"/>
    </row>
    <row r="314" customFormat="false" ht="21.75" hidden="false" customHeight="true" outlineLevel="0" collapsed="false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51" t="str">
        <f aca="true">IF(OR(R314="",R314=0),"",EDATE(TODAY(),R314))</f>
        <v/>
      </c>
      <c r="T314" s="37"/>
    </row>
    <row r="315" customFormat="false" ht="21.75" hidden="false" customHeight="true" outlineLevel="0" collapsed="false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52" t="str">
        <f aca="true">IF(OR(R315="",R315=0),"",EDATE(TODAY(),R315))</f>
        <v/>
      </c>
      <c r="T315" s="42"/>
    </row>
    <row r="316" customFormat="false" ht="21.75" hidden="false" customHeight="true" outlineLevel="0" collapsed="false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51" t="str">
        <f aca="true">IF(OR(R316="",R316=0),"",EDATE(TODAY(),R316))</f>
        <v/>
      </c>
      <c r="T316" s="37"/>
    </row>
    <row r="317" customFormat="false" ht="21.75" hidden="false" customHeight="true" outlineLevel="0" collapsed="false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52" t="str">
        <f aca="true">IF(OR(R317="",R317=0),"",EDATE(TODAY(),R317))</f>
        <v/>
      </c>
      <c r="T317" s="42"/>
    </row>
    <row r="318" customFormat="false" ht="21.75" hidden="false" customHeight="true" outlineLevel="0" collapsed="false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51" t="str">
        <f aca="true">IF(OR(R318="",R318=0),"",EDATE(TODAY(),R318))</f>
        <v/>
      </c>
      <c r="T318" s="37"/>
    </row>
    <row r="319" customFormat="false" ht="21.75" hidden="false" customHeight="true" outlineLevel="0" collapsed="false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52" t="str">
        <f aca="true">IF(OR(R319="",R319=0),"",EDATE(TODAY(),R319))</f>
        <v/>
      </c>
      <c r="T319" s="42"/>
    </row>
    <row r="320" customFormat="false" ht="21.75" hidden="false" customHeight="true" outlineLevel="0" collapsed="false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51" t="str">
        <f aca="true">IF(OR(R320="",R320=0),"",EDATE(TODAY(),R320))</f>
        <v/>
      </c>
      <c r="T320" s="37"/>
    </row>
    <row r="321" customFormat="false" ht="21.75" hidden="false" customHeight="true" outlineLevel="0" collapsed="false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52" t="str">
        <f aca="true">IF(OR(R321="",R321=0),"",EDATE(TODAY(),R321))</f>
        <v/>
      </c>
      <c r="T321" s="42"/>
    </row>
    <row r="322" customFormat="false" ht="21.75" hidden="false" customHeight="true" outlineLevel="0" collapsed="false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51" t="str">
        <f aca="true">IF(OR(R322="",R322=0),"",EDATE(TODAY(),R322))</f>
        <v/>
      </c>
      <c r="T322" s="37"/>
    </row>
    <row r="323" customFormat="false" ht="21.75" hidden="false" customHeight="true" outlineLevel="0" collapsed="false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52" t="str">
        <f aca="true">IF(OR(R323="",R323=0),"",EDATE(TODAY(),R323))</f>
        <v/>
      </c>
      <c r="T323" s="42"/>
    </row>
    <row r="324" customFormat="false" ht="21.75" hidden="false" customHeight="true" outlineLevel="0" collapsed="false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51" t="str">
        <f aca="true">IF(OR(R324="",R324=0),"",EDATE(TODAY(),R324))</f>
        <v/>
      </c>
      <c r="T324" s="37"/>
    </row>
    <row r="325" customFormat="false" ht="21.75" hidden="false" customHeight="true" outlineLevel="0" collapsed="false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52" t="str">
        <f aca="true">IF(OR(R325="",R325=0),"",EDATE(TODAY(),R325))</f>
        <v/>
      </c>
      <c r="T325" s="42"/>
    </row>
    <row r="326" customFormat="false" ht="21.75" hidden="false" customHeight="true" outlineLevel="0" collapsed="false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51" t="str">
        <f aca="true">IF(OR(R326="",R326=0),"",EDATE(TODAY(),R326))</f>
        <v/>
      </c>
      <c r="T326" s="37"/>
    </row>
    <row r="327" customFormat="false" ht="21.75" hidden="false" customHeight="true" outlineLevel="0" collapsed="false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52" t="str">
        <f aca="true">IF(OR(R327="",R327=0),"",EDATE(TODAY(),R327))</f>
        <v/>
      </c>
      <c r="T327" s="42"/>
    </row>
    <row r="328" customFormat="false" ht="21.75" hidden="false" customHeight="true" outlineLevel="0" collapsed="false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51" t="str">
        <f aca="true">IF(OR(R328="",R328=0),"",EDATE(TODAY(),R328))</f>
        <v/>
      </c>
      <c r="T328" s="37"/>
    </row>
    <row r="329" customFormat="false" ht="21.75" hidden="false" customHeight="true" outlineLevel="0" collapsed="false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52" t="str">
        <f aca="true">IF(OR(R329="",R329=0),"",EDATE(TODAY(),R329))</f>
        <v/>
      </c>
      <c r="T329" s="42"/>
    </row>
    <row r="330" customFormat="false" ht="21.75" hidden="false" customHeight="true" outlineLevel="0" collapsed="false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51" t="str">
        <f aca="true">IF(OR(R330="",R330=0),"",EDATE(TODAY(),R330))</f>
        <v/>
      </c>
      <c r="T330" s="37"/>
    </row>
    <row r="331" customFormat="false" ht="21.75" hidden="false" customHeight="true" outlineLevel="0" collapsed="false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52" t="str">
        <f aca="true">IF(OR(R331="",R331=0),"",EDATE(TODAY(),R331))</f>
        <v/>
      </c>
      <c r="T331" s="42"/>
    </row>
    <row r="332" customFormat="false" ht="21.75" hidden="false" customHeight="true" outlineLevel="0" collapsed="false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51" t="str">
        <f aca="true">IF(OR(R332="",R332=0),"",EDATE(TODAY(),R332))</f>
        <v/>
      </c>
      <c r="T332" s="37"/>
    </row>
    <row r="333" customFormat="false" ht="21.75" hidden="false" customHeight="true" outlineLevel="0" collapsed="false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52" t="str">
        <f aca="true">IF(OR(R333="",R333=0),"",EDATE(TODAY(),R333))</f>
        <v/>
      </c>
      <c r="T333" s="42"/>
    </row>
    <row r="334" customFormat="false" ht="21.75" hidden="false" customHeight="true" outlineLevel="0" collapsed="false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51" t="str">
        <f aca="true">IF(OR(R334="",R334=0),"",EDATE(TODAY(),R334))</f>
        <v/>
      </c>
      <c r="T334" s="37"/>
    </row>
    <row r="335" customFormat="false" ht="21.75" hidden="false" customHeight="true" outlineLevel="0" collapsed="false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52" t="str">
        <f aca="true">IF(OR(R335="",R335=0),"",EDATE(TODAY(),R335))</f>
        <v/>
      </c>
      <c r="T335" s="42"/>
    </row>
    <row r="336" customFormat="false" ht="21.75" hidden="false" customHeight="true" outlineLevel="0" collapsed="false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51" t="str">
        <f aca="true">IF(OR(R336="",R336=0),"",EDATE(TODAY(),R336))</f>
        <v/>
      </c>
      <c r="T336" s="37"/>
    </row>
    <row r="337" customFormat="false" ht="21.75" hidden="false" customHeight="true" outlineLevel="0" collapsed="false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52" t="str">
        <f aca="true">IF(OR(R337="",R337=0),"",EDATE(TODAY(),R337))</f>
        <v/>
      </c>
      <c r="T337" s="42"/>
    </row>
    <row r="338" customFormat="false" ht="21.75" hidden="false" customHeight="true" outlineLevel="0" collapsed="false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51" t="str">
        <f aca="true">IF(OR(R338="",R338=0),"",EDATE(TODAY(),R338))</f>
        <v/>
      </c>
      <c r="T338" s="37"/>
    </row>
    <row r="339" customFormat="false" ht="21.75" hidden="false" customHeight="true" outlineLevel="0" collapsed="false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52" t="str">
        <f aca="true">IF(OR(R339="",R339=0),"",EDATE(TODAY(),R339))</f>
        <v/>
      </c>
      <c r="T339" s="42"/>
    </row>
    <row r="340" customFormat="false" ht="21.75" hidden="false" customHeight="true" outlineLevel="0" collapsed="false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51" t="str">
        <f aca="true">IF(OR(R340="",R340=0),"",EDATE(TODAY(),R340))</f>
        <v/>
      </c>
      <c r="T340" s="37"/>
    </row>
    <row r="341" customFormat="false" ht="21.75" hidden="false" customHeight="true" outlineLevel="0" collapsed="false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52" t="str">
        <f aca="true">IF(OR(R341="",R341=0),"",EDATE(TODAY(),R341))</f>
        <v/>
      </c>
      <c r="T341" s="42"/>
    </row>
    <row r="342" customFormat="false" ht="21.75" hidden="false" customHeight="true" outlineLevel="0" collapsed="false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51" t="str">
        <f aca="true">IF(OR(R342="",R342=0),"",EDATE(TODAY(),R342))</f>
        <v/>
      </c>
      <c r="T342" s="37"/>
    </row>
    <row r="343" customFormat="false" ht="21.75" hidden="false" customHeight="true" outlineLevel="0" collapsed="false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52" t="str">
        <f aca="true">IF(OR(R343="",R343=0),"",EDATE(TODAY(),R343))</f>
        <v/>
      </c>
      <c r="T343" s="42"/>
    </row>
    <row r="344" customFormat="false" ht="21.75" hidden="false" customHeight="true" outlineLevel="0" collapsed="false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51" t="str">
        <f aca="true">IF(OR(R344="",R344=0),"",EDATE(TODAY(),R344))</f>
        <v/>
      </c>
      <c r="T344" s="37"/>
    </row>
    <row r="345" customFormat="false" ht="21.75" hidden="false" customHeight="true" outlineLevel="0" collapsed="false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52" t="str">
        <f aca="true">IF(OR(R345="",R345=0),"",EDATE(TODAY(),R345))</f>
        <v/>
      </c>
      <c r="T345" s="42"/>
    </row>
    <row r="346" customFormat="false" ht="21.75" hidden="false" customHeight="true" outlineLevel="0" collapsed="false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51" t="str">
        <f aca="true">IF(OR(R346="",R346=0),"",EDATE(TODAY(),R346))</f>
        <v/>
      </c>
      <c r="T346" s="37"/>
    </row>
    <row r="347" customFormat="false" ht="21.75" hidden="false" customHeight="true" outlineLevel="0" collapsed="false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52" t="str">
        <f aca="true">IF(OR(R347="",R347=0),"",EDATE(TODAY(),R347))</f>
        <v/>
      </c>
      <c r="T347" s="42"/>
    </row>
    <row r="348" customFormat="false" ht="21.75" hidden="false" customHeight="true" outlineLevel="0" collapsed="false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51" t="str">
        <f aca="true">IF(OR(R348="",R348=0),"",EDATE(TODAY(),R348))</f>
        <v/>
      </c>
      <c r="T348" s="37"/>
    </row>
    <row r="349" customFormat="false" ht="21.75" hidden="false" customHeight="true" outlineLevel="0" collapsed="false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52" t="str">
        <f aca="true">IF(OR(R349="",R349=0),"",EDATE(TODAY(),R349))</f>
        <v/>
      </c>
      <c r="T349" s="42"/>
    </row>
    <row r="350" customFormat="false" ht="21.75" hidden="false" customHeight="true" outlineLevel="0" collapsed="false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51" t="str">
        <f aca="true">IF(OR(R350="",R350=0),"",EDATE(TODAY(),R350))</f>
        <v/>
      </c>
      <c r="T350" s="37"/>
    </row>
    <row r="351" customFormat="false" ht="21.75" hidden="false" customHeight="true" outlineLevel="0" collapsed="false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52" t="str">
        <f aca="true">IF(OR(R351="",R351=0),"",EDATE(TODAY(),R351))</f>
        <v/>
      </c>
      <c r="T351" s="42"/>
    </row>
    <row r="352" customFormat="false" ht="21.75" hidden="false" customHeight="true" outlineLevel="0" collapsed="false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51" t="str">
        <f aca="true">IF(OR(R352="",R352=0),"",EDATE(TODAY(),R352))</f>
        <v/>
      </c>
      <c r="T352" s="37"/>
    </row>
    <row r="353" customFormat="false" ht="21.75" hidden="false" customHeight="true" outlineLevel="0" collapsed="false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52" t="str">
        <f aca="true">IF(OR(R353="",R353=0),"",EDATE(TODAY(),R353))</f>
        <v/>
      </c>
      <c r="T353" s="42"/>
    </row>
    <row r="354" customFormat="false" ht="21.75" hidden="false" customHeight="true" outlineLevel="0" collapsed="false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51" t="str">
        <f aca="true">IF(OR(R354="",R354=0),"",EDATE(TODAY(),R354))</f>
        <v/>
      </c>
      <c r="T354" s="37"/>
    </row>
    <row r="355" customFormat="false" ht="21.75" hidden="false" customHeight="true" outlineLevel="0" collapsed="false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52" t="str">
        <f aca="true">IF(OR(R355="",R355=0),"",EDATE(TODAY(),R355))</f>
        <v/>
      </c>
      <c r="T355" s="42"/>
    </row>
    <row r="356" customFormat="false" ht="21.75" hidden="false" customHeight="true" outlineLevel="0" collapsed="false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51" t="str">
        <f aca="true">IF(OR(R356="",R356=0),"",EDATE(TODAY(),R356))</f>
        <v/>
      </c>
      <c r="T356" s="37"/>
    </row>
    <row r="357" customFormat="false" ht="21.75" hidden="false" customHeight="true" outlineLevel="0" collapsed="false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52" t="str">
        <f aca="true">IF(OR(R357="",R357=0),"",EDATE(TODAY(),R357))</f>
        <v/>
      </c>
      <c r="T357" s="42"/>
    </row>
    <row r="358" customFormat="false" ht="21.75" hidden="false" customHeight="true" outlineLevel="0" collapsed="false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51" t="str">
        <f aca="true">IF(OR(R358="",R358=0),"",EDATE(TODAY(),R358))</f>
        <v/>
      </c>
      <c r="T358" s="37"/>
    </row>
    <row r="359" customFormat="false" ht="21.75" hidden="false" customHeight="true" outlineLevel="0" collapsed="false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52" t="str">
        <f aca="true">IF(OR(R359="",R359=0),"",EDATE(TODAY(),R359))</f>
        <v/>
      </c>
      <c r="T359" s="42"/>
    </row>
    <row r="360" customFormat="false" ht="21.75" hidden="false" customHeight="true" outlineLevel="0" collapsed="false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51" t="str">
        <f aca="true">IF(OR(R360="",R360=0),"",EDATE(TODAY(),R360))</f>
        <v/>
      </c>
      <c r="T360" s="37"/>
    </row>
    <row r="361" customFormat="false" ht="21.75" hidden="false" customHeight="true" outlineLevel="0" collapsed="false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52" t="str">
        <f aca="true">IF(OR(R361="",R361=0),"",EDATE(TODAY(),R361))</f>
        <v/>
      </c>
      <c r="T361" s="42"/>
    </row>
    <row r="362" customFormat="false" ht="21.75" hidden="false" customHeight="true" outlineLevel="0" collapsed="false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51" t="str">
        <f aca="true">IF(OR(R362="",R362=0),"",EDATE(TODAY(),R362))</f>
        <v/>
      </c>
      <c r="T362" s="37"/>
    </row>
    <row r="363" customFormat="false" ht="21.75" hidden="false" customHeight="true" outlineLevel="0" collapsed="false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52" t="str">
        <f aca="true">IF(OR(R363="",R363=0),"",EDATE(TODAY(),R363))</f>
        <v/>
      </c>
      <c r="T363" s="42"/>
    </row>
    <row r="364" customFormat="false" ht="21.75" hidden="false" customHeight="true" outlineLevel="0" collapsed="false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51" t="str">
        <f aca="true">IF(OR(R364="",R364=0),"",EDATE(TODAY(),R364))</f>
        <v/>
      </c>
      <c r="T364" s="37"/>
    </row>
    <row r="365" customFormat="false" ht="21.75" hidden="false" customHeight="true" outlineLevel="0" collapsed="false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52" t="str">
        <f aca="true">IF(OR(R365="",R365=0),"",EDATE(TODAY(),R365))</f>
        <v/>
      </c>
      <c r="T365" s="42"/>
    </row>
    <row r="366" customFormat="false" ht="21.75" hidden="false" customHeight="true" outlineLevel="0" collapsed="false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51" t="str">
        <f aca="true">IF(OR(R366="",R366=0),"",EDATE(TODAY(),R366))</f>
        <v/>
      </c>
      <c r="T366" s="37"/>
    </row>
    <row r="367" customFormat="false" ht="21.75" hidden="false" customHeight="true" outlineLevel="0" collapsed="false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52" t="str">
        <f aca="true">IF(OR(R367="",R367=0),"",EDATE(TODAY(),R367))</f>
        <v/>
      </c>
      <c r="T367" s="42"/>
    </row>
    <row r="368" customFormat="false" ht="21.75" hidden="false" customHeight="true" outlineLevel="0" collapsed="false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51" t="str">
        <f aca="true">IF(OR(R368="",R368=0),"",EDATE(TODAY(),R368))</f>
        <v/>
      </c>
      <c r="T368" s="37"/>
    </row>
    <row r="369" customFormat="false" ht="21.75" hidden="false" customHeight="true" outlineLevel="0" collapsed="false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52" t="str">
        <f aca="true">IF(OR(R369="",R369=0),"",EDATE(TODAY(),R369))</f>
        <v/>
      </c>
      <c r="T369" s="42"/>
    </row>
    <row r="370" customFormat="false" ht="21.75" hidden="false" customHeight="true" outlineLevel="0" collapsed="false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51" t="str">
        <f aca="true">IF(OR(R370="",R370=0),"",EDATE(TODAY(),R370))</f>
        <v/>
      </c>
      <c r="T370" s="37"/>
    </row>
    <row r="371" customFormat="false" ht="21.75" hidden="false" customHeight="true" outlineLevel="0" collapsed="false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52" t="str">
        <f aca="true">IF(OR(R371="",R371=0),"",EDATE(TODAY(),R371))</f>
        <v/>
      </c>
      <c r="T371" s="42"/>
    </row>
    <row r="372" customFormat="false" ht="21.75" hidden="false" customHeight="true" outlineLevel="0" collapsed="false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51" t="str">
        <f aca="true">IF(OR(R372="",R372=0),"",EDATE(TODAY(),R372))</f>
        <v/>
      </c>
      <c r="T372" s="37"/>
    </row>
    <row r="373" customFormat="false" ht="21.75" hidden="false" customHeight="true" outlineLevel="0" collapsed="false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52" t="str">
        <f aca="true">IF(OR(R373="",R373=0),"",EDATE(TODAY(),R373))</f>
        <v/>
      </c>
      <c r="T373" s="42"/>
    </row>
    <row r="374" customFormat="false" ht="21.75" hidden="false" customHeight="true" outlineLevel="0" collapsed="false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51" t="str">
        <f aca="true">IF(OR(R374="",R374=0),"",EDATE(TODAY(),R374))</f>
        <v/>
      </c>
      <c r="T374" s="37"/>
    </row>
    <row r="375" customFormat="false" ht="21.75" hidden="false" customHeight="true" outlineLevel="0" collapsed="false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52" t="str">
        <f aca="true">IF(OR(R375="",R375=0),"",EDATE(TODAY(),R375))</f>
        <v/>
      </c>
      <c r="T375" s="42"/>
    </row>
    <row r="376" customFormat="false" ht="21.75" hidden="false" customHeight="true" outlineLevel="0" collapsed="false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51" t="str">
        <f aca="true">IF(OR(R376="",R376=0),"",EDATE(TODAY(),R376))</f>
        <v/>
      </c>
      <c r="T376" s="37"/>
    </row>
    <row r="377" customFormat="false" ht="21.75" hidden="false" customHeight="true" outlineLevel="0" collapsed="false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52" t="str">
        <f aca="true">IF(OR(R377="",R377=0),"",EDATE(TODAY(),R377))</f>
        <v/>
      </c>
      <c r="T377" s="42"/>
    </row>
    <row r="378" customFormat="false" ht="21.75" hidden="false" customHeight="true" outlineLevel="0" collapsed="false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51" t="str">
        <f aca="true">IF(OR(R378="",R378=0),"",EDATE(TODAY(),R378))</f>
        <v/>
      </c>
      <c r="T378" s="37"/>
    </row>
    <row r="379" customFormat="false" ht="21.75" hidden="false" customHeight="true" outlineLevel="0" collapsed="false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52" t="str">
        <f aca="true">IF(OR(R379="",R379=0),"",EDATE(TODAY(),R379))</f>
        <v/>
      </c>
      <c r="T379" s="42"/>
    </row>
    <row r="380" customFormat="false" ht="21.75" hidden="false" customHeight="true" outlineLevel="0" collapsed="false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51" t="str">
        <f aca="true">IF(OR(R380="",R380=0),"",EDATE(TODAY(),R380))</f>
        <v/>
      </c>
      <c r="T380" s="37"/>
    </row>
    <row r="381" customFormat="false" ht="21.75" hidden="false" customHeight="true" outlineLevel="0" collapsed="false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52" t="str">
        <f aca="true">IF(OR(R381="",R381=0),"",EDATE(TODAY(),R381))</f>
        <v/>
      </c>
      <c r="T381" s="42"/>
    </row>
    <row r="382" customFormat="false" ht="21.75" hidden="false" customHeight="true" outlineLevel="0" collapsed="false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51" t="str">
        <f aca="true">IF(OR(R382="",R382=0),"",EDATE(TODAY(),R382))</f>
        <v/>
      </c>
      <c r="T382" s="37"/>
    </row>
    <row r="383" customFormat="false" ht="21.75" hidden="false" customHeight="true" outlineLevel="0" collapsed="false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52" t="str">
        <f aca="true">IF(OR(R383="",R383=0),"",EDATE(TODAY(),R383))</f>
        <v/>
      </c>
      <c r="T383" s="42"/>
    </row>
    <row r="384" customFormat="false" ht="21.75" hidden="false" customHeight="true" outlineLevel="0" collapsed="false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51" t="str">
        <f aca="true">IF(OR(R384="",R384=0),"",EDATE(TODAY(),R384))</f>
        <v/>
      </c>
      <c r="T384" s="37"/>
    </row>
    <row r="385" customFormat="false" ht="21.75" hidden="false" customHeight="true" outlineLevel="0" collapsed="false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52" t="str">
        <f aca="true">IF(OR(R385="",R385=0),"",EDATE(TODAY(),R385))</f>
        <v/>
      </c>
      <c r="T385" s="42"/>
    </row>
    <row r="386" customFormat="false" ht="21.75" hidden="false" customHeight="true" outlineLevel="0" collapsed="false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51" t="str">
        <f aca="true">IF(OR(R386="",R386=0),"",EDATE(TODAY(),R386))</f>
        <v/>
      </c>
      <c r="T386" s="37"/>
    </row>
    <row r="387" customFormat="false" ht="21.75" hidden="false" customHeight="true" outlineLevel="0" collapsed="false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52" t="str">
        <f aca="true">IF(OR(R387="",R387=0),"",EDATE(TODAY(),R387))</f>
        <v/>
      </c>
      <c r="T387" s="42"/>
    </row>
    <row r="388" customFormat="false" ht="21.75" hidden="false" customHeight="true" outlineLevel="0" collapsed="false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51" t="str">
        <f aca="true">IF(OR(R388="",R388=0),"",EDATE(TODAY(),R388))</f>
        <v/>
      </c>
      <c r="T388" s="37"/>
    </row>
    <row r="389" customFormat="false" ht="21.75" hidden="false" customHeight="true" outlineLevel="0" collapsed="false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52" t="str">
        <f aca="true">IF(OR(R389="",R389=0),"",EDATE(TODAY(),R389))</f>
        <v/>
      </c>
      <c r="T389" s="42"/>
    </row>
    <row r="390" customFormat="false" ht="21.75" hidden="false" customHeight="true" outlineLevel="0" collapsed="false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51" t="str">
        <f aca="true">IF(OR(R390="",R390=0),"",EDATE(TODAY(),R390))</f>
        <v/>
      </c>
      <c r="T390" s="37"/>
    </row>
    <row r="391" customFormat="false" ht="21.75" hidden="false" customHeight="true" outlineLevel="0" collapsed="false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52" t="str">
        <f aca="true">IF(OR(R391="",R391=0),"",EDATE(TODAY(),R391))</f>
        <v/>
      </c>
      <c r="T391" s="42"/>
    </row>
    <row r="392" customFormat="false" ht="21.75" hidden="false" customHeight="true" outlineLevel="0" collapsed="false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51" t="str">
        <f aca="true">IF(OR(R392="",R392=0),"",EDATE(TODAY(),R392))</f>
        <v/>
      </c>
      <c r="T392" s="37"/>
    </row>
    <row r="393" customFormat="false" ht="21.75" hidden="false" customHeight="true" outlineLevel="0" collapsed="false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52" t="str">
        <f aca="true">IF(OR(R393="",R393=0),"",EDATE(TODAY(),R393))</f>
        <v/>
      </c>
      <c r="T393" s="42"/>
    </row>
    <row r="394" customFormat="false" ht="21.75" hidden="false" customHeight="true" outlineLevel="0" collapsed="false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51" t="str">
        <f aca="true">IF(OR(R394="",R394=0),"",EDATE(TODAY(),R394))</f>
        <v/>
      </c>
      <c r="T394" s="37"/>
    </row>
    <row r="395" customFormat="false" ht="21.75" hidden="false" customHeight="true" outlineLevel="0" collapsed="false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52" t="str">
        <f aca="true">IF(OR(R395="",R395=0),"",EDATE(TODAY(),R395))</f>
        <v/>
      </c>
      <c r="T395" s="42"/>
    </row>
    <row r="396" customFormat="false" ht="21.75" hidden="false" customHeight="true" outlineLevel="0" collapsed="false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51" t="str">
        <f aca="true">IF(OR(R396="",R396=0),"",EDATE(TODAY(),R396))</f>
        <v/>
      </c>
      <c r="T396" s="37"/>
    </row>
    <row r="397" customFormat="false" ht="21.75" hidden="false" customHeight="true" outlineLevel="0" collapsed="false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52" t="str">
        <f aca="true">IF(OR(R397="",R397=0),"",EDATE(TODAY(),R397))</f>
        <v/>
      </c>
      <c r="T397" s="42"/>
    </row>
    <row r="398" customFormat="false" ht="21.75" hidden="false" customHeight="true" outlineLevel="0" collapsed="false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51" t="str">
        <f aca="true">IF(OR(R398="",R398=0),"",EDATE(TODAY(),R398))</f>
        <v/>
      </c>
      <c r="T398" s="37"/>
    </row>
    <row r="399" customFormat="false" ht="21.75" hidden="false" customHeight="true" outlineLevel="0" collapsed="false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52" t="str">
        <f aca="true">IF(OR(R399="",R399=0),"",EDATE(TODAY(),R399))</f>
        <v/>
      </c>
      <c r="T399" s="42"/>
    </row>
    <row r="400" customFormat="false" ht="21.75" hidden="false" customHeight="true" outlineLevel="0" collapsed="false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51" t="str">
        <f aca="true">IF(OR(R400="",R400=0),"",EDATE(TODAY(),R400))</f>
        <v/>
      </c>
      <c r="T400" s="37"/>
    </row>
    <row r="401" customFormat="false" ht="21.75" hidden="false" customHeight="true" outlineLevel="0" collapsed="false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52" t="str">
        <f aca="true">IF(OR(R401="",R401=0),"",EDATE(TODAY(),R401))</f>
        <v/>
      </c>
      <c r="T401" s="42"/>
    </row>
    <row r="402" customFormat="false" ht="21.75" hidden="false" customHeight="true" outlineLevel="0" collapsed="false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51" t="str">
        <f aca="true">IF(OR(R402="",R402=0),"",EDATE(TODAY(),R402))</f>
        <v/>
      </c>
      <c r="T402" s="37"/>
    </row>
    <row r="403" customFormat="false" ht="21.75" hidden="false" customHeight="true" outlineLevel="0" collapsed="false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52" t="str">
        <f aca="true">IF(OR(R403="",R403=0),"",EDATE(TODAY(),R403))</f>
        <v/>
      </c>
      <c r="T403" s="42"/>
    </row>
    <row r="404" customFormat="false" ht="21.75" hidden="false" customHeight="true" outlineLevel="0" collapsed="false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51" t="str">
        <f aca="true">IF(OR(R404="",R404=0),"",EDATE(TODAY(),R404))</f>
        <v/>
      </c>
      <c r="T404" s="37"/>
    </row>
    <row r="405" customFormat="false" ht="21.75" hidden="false" customHeight="true" outlineLevel="0" collapsed="false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52" t="str">
        <f aca="true">IF(OR(R405="",R405=0),"",EDATE(TODAY(),R405))</f>
        <v/>
      </c>
      <c r="T405" s="42"/>
    </row>
    <row r="406" customFormat="false" ht="21.75" hidden="false" customHeight="true" outlineLevel="0" collapsed="false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51" t="str">
        <f aca="true">IF(OR(R406="",R406=0),"",EDATE(TODAY(),R406))</f>
        <v/>
      </c>
      <c r="T406" s="37"/>
    </row>
    <row r="407" customFormat="false" ht="21.75" hidden="false" customHeight="true" outlineLevel="0" collapsed="false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52" t="str">
        <f aca="true">IF(OR(R407="",R407=0),"",EDATE(TODAY(),R407))</f>
        <v/>
      </c>
      <c r="T407" s="42"/>
    </row>
    <row r="408" customFormat="false" ht="21.75" hidden="false" customHeight="true" outlineLevel="0" collapsed="false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51" t="str">
        <f aca="true">IF(OR(R408="",R408=0),"",EDATE(TODAY(),R408))</f>
        <v/>
      </c>
      <c r="T408" s="37"/>
    </row>
    <row r="409" customFormat="false" ht="21.75" hidden="false" customHeight="true" outlineLevel="0" collapsed="false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52" t="str">
        <f aca="true">IF(OR(R409="",R409=0),"",EDATE(TODAY(),R409))</f>
        <v/>
      </c>
      <c r="T409" s="42"/>
    </row>
    <row r="410" customFormat="false" ht="21.75" hidden="false" customHeight="true" outlineLevel="0" collapsed="false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51" t="str">
        <f aca="true">IF(OR(R410="",R410=0),"",EDATE(TODAY(),R410))</f>
        <v/>
      </c>
      <c r="T410" s="37"/>
    </row>
    <row r="411" customFormat="false" ht="21.75" hidden="false" customHeight="true" outlineLevel="0" collapsed="false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52" t="str">
        <f aca="true">IF(OR(R411="",R411=0),"",EDATE(TODAY(),R411))</f>
        <v/>
      </c>
      <c r="T411" s="42"/>
    </row>
    <row r="412" customFormat="false" ht="21.75" hidden="false" customHeight="true" outlineLevel="0" collapsed="false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51" t="str">
        <f aca="true">IF(OR(R412="",R412=0),"",EDATE(TODAY(),R412))</f>
        <v/>
      </c>
      <c r="T412" s="37"/>
    </row>
    <row r="413" customFormat="false" ht="21.75" hidden="false" customHeight="true" outlineLevel="0" collapsed="false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52" t="str">
        <f aca="true">IF(OR(R413="",R413=0),"",EDATE(TODAY(),R413))</f>
        <v/>
      </c>
      <c r="T413" s="42"/>
    </row>
    <row r="414" customFormat="false" ht="21.75" hidden="false" customHeight="true" outlineLevel="0" collapsed="false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51" t="str">
        <f aca="true">IF(OR(R414="",R414=0),"",EDATE(TODAY(),R414))</f>
        <v/>
      </c>
      <c r="T414" s="37"/>
    </row>
    <row r="415" customFormat="false" ht="21.75" hidden="false" customHeight="true" outlineLevel="0" collapsed="false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52" t="str">
        <f aca="true">IF(OR(R415="",R415=0),"",EDATE(TODAY(),R415))</f>
        <v/>
      </c>
      <c r="T415" s="42"/>
    </row>
    <row r="416" customFormat="false" ht="21.75" hidden="false" customHeight="true" outlineLevel="0" collapsed="false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51" t="str">
        <f aca="true">IF(OR(R416="",R416=0),"",EDATE(TODAY(),R416))</f>
        <v/>
      </c>
      <c r="T416" s="37"/>
    </row>
    <row r="417" customFormat="false" ht="21.75" hidden="false" customHeight="true" outlineLevel="0" collapsed="false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52" t="str">
        <f aca="true">IF(OR(R417="",R417=0),"",EDATE(TODAY(),R417))</f>
        <v/>
      </c>
      <c r="T417" s="42"/>
    </row>
    <row r="418" customFormat="false" ht="21.75" hidden="false" customHeight="true" outlineLevel="0" collapsed="false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51" t="str">
        <f aca="true">IF(OR(R418="",R418=0),"",EDATE(TODAY(),R418))</f>
        <v/>
      </c>
      <c r="T418" s="37"/>
    </row>
    <row r="419" customFormat="false" ht="21.75" hidden="false" customHeight="true" outlineLevel="0" collapsed="false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52" t="str">
        <f aca="true">IF(OR(R419="",R419=0),"",EDATE(TODAY(),R419))</f>
        <v/>
      </c>
      <c r="T419" s="42"/>
    </row>
    <row r="420" customFormat="false" ht="21.75" hidden="false" customHeight="true" outlineLevel="0" collapsed="false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51" t="str">
        <f aca="true">IF(OR(R420="",R420=0),"",EDATE(TODAY(),R420))</f>
        <v/>
      </c>
      <c r="T420" s="37"/>
    </row>
    <row r="421" customFormat="false" ht="21.75" hidden="false" customHeight="true" outlineLevel="0" collapsed="false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52" t="str">
        <f aca="true">IF(OR(R421="",R421=0),"",EDATE(TODAY(),R421))</f>
        <v/>
      </c>
      <c r="T421" s="42"/>
    </row>
    <row r="422" customFormat="false" ht="21.75" hidden="false" customHeight="true" outlineLevel="0" collapsed="false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51" t="str">
        <f aca="true">IF(OR(R422="",R422=0),"",EDATE(TODAY(),R422))</f>
        <v/>
      </c>
      <c r="T422" s="37"/>
    </row>
    <row r="423" customFormat="false" ht="21.75" hidden="false" customHeight="true" outlineLevel="0" collapsed="false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52" t="str">
        <f aca="true">IF(OR(R423="",R423=0),"",EDATE(TODAY(),R423))</f>
        <v/>
      </c>
      <c r="T423" s="42"/>
    </row>
    <row r="424" customFormat="false" ht="21.75" hidden="false" customHeight="true" outlineLevel="0" collapsed="false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51" t="str">
        <f aca="true">IF(OR(R424="",R424=0),"",EDATE(TODAY(),R424))</f>
        <v/>
      </c>
      <c r="T424" s="37"/>
    </row>
    <row r="425" customFormat="false" ht="21.75" hidden="false" customHeight="true" outlineLevel="0" collapsed="false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52" t="str">
        <f aca="true">IF(OR(R425="",R425=0),"",EDATE(TODAY(),R425))</f>
        <v/>
      </c>
      <c r="T425" s="42"/>
    </row>
    <row r="426" customFormat="false" ht="21.75" hidden="false" customHeight="true" outlineLevel="0" collapsed="false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51" t="str">
        <f aca="true">IF(OR(R426="",R426=0),"",EDATE(TODAY(),R426))</f>
        <v/>
      </c>
      <c r="T426" s="37"/>
    </row>
    <row r="427" customFormat="false" ht="21.75" hidden="false" customHeight="true" outlineLevel="0" collapsed="false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52" t="str">
        <f aca="true">IF(OR(R427="",R427=0),"",EDATE(TODAY(),R427))</f>
        <v/>
      </c>
      <c r="T427" s="42"/>
    </row>
    <row r="428" customFormat="false" ht="21.75" hidden="false" customHeight="true" outlineLevel="0" collapsed="false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51" t="str">
        <f aca="true">IF(OR(R428="",R428=0),"",EDATE(TODAY(),R428))</f>
        <v/>
      </c>
      <c r="T428" s="37"/>
    </row>
    <row r="429" customFormat="false" ht="21.75" hidden="false" customHeight="true" outlineLevel="0" collapsed="false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52" t="str">
        <f aca="true">IF(OR(R429="",R429=0),"",EDATE(TODAY(),R429))</f>
        <v/>
      </c>
      <c r="T429" s="42"/>
    </row>
    <row r="430" customFormat="false" ht="21.75" hidden="false" customHeight="true" outlineLevel="0" collapsed="false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51" t="str">
        <f aca="true">IF(OR(R430="",R430=0),"",EDATE(TODAY(),R430))</f>
        <v/>
      </c>
      <c r="T430" s="37"/>
    </row>
    <row r="431" customFormat="false" ht="21.75" hidden="false" customHeight="true" outlineLevel="0" collapsed="false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52" t="str">
        <f aca="true">IF(OR(R431="",R431=0),"",EDATE(TODAY(),R431))</f>
        <v/>
      </c>
      <c r="T431" s="42"/>
    </row>
    <row r="432" customFormat="false" ht="21.75" hidden="false" customHeight="true" outlineLevel="0" collapsed="false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51" t="str">
        <f aca="true">IF(OR(R432="",R432=0),"",EDATE(TODAY(),R432))</f>
        <v/>
      </c>
      <c r="T432" s="37"/>
    </row>
    <row r="433" customFormat="false" ht="21.75" hidden="false" customHeight="true" outlineLevel="0" collapsed="false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52" t="str">
        <f aca="true">IF(OR(R433="",R433=0),"",EDATE(TODAY(),R433))</f>
        <v/>
      </c>
      <c r="T433" s="42"/>
    </row>
    <row r="434" customFormat="false" ht="21.75" hidden="false" customHeight="true" outlineLevel="0" collapsed="false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51" t="str">
        <f aca="true">IF(OR(R434="",R434=0),"",EDATE(TODAY(),R434))</f>
        <v/>
      </c>
      <c r="T434" s="37"/>
    </row>
    <row r="435" customFormat="false" ht="21.75" hidden="false" customHeight="true" outlineLevel="0" collapsed="false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52" t="str">
        <f aca="true">IF(OR(R435="",R435=0),"",EDATE(TODAY(),R435))</f>
        <v/>
      </c>
      <c r="T435" s="42"/>
    </row>
    <row r="436" customFormat="false" ht="21.75" hidden="false" customHeight="true" outlineLevel="0" collapsed="false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51" t="str">
        <f aca="true">IF(OR(R436="",R436=0),"",EDATE(TODAY(),R436))</f>
        <v/>
      </c>
      <c r="T436" s="37"/>
    </row>
    <row r="437" customFormat="false" ht="21.75" hidden="false" customHeight="true" outlineLevel="0" collapsed="false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52" t="str">
        <f aca="true">IF(OR(R437="",R437=0),"",EDATE(TODAY(),R437))</f>
        <v/>
      </c>
      <c r="T437" s="42"/>
    </row>
    <row r="438" customFormat="false" ht="21.75" hidden="false" customHeight="true" outlineLevel="0" collapsed="false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51" t="str">
        <f aca="true">IF(OR(R438="",R438=0),"",EDATE(TODAY(),R438))</f>
        <v/>
      </c>
      <c r="T438" s="37"/>
    </row>
    <row r="439" customFormat="false" ht="21.75" hidden="false" customHeight="true" outlineLevel="0" collapsed="false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52" t="str">
        <f aca="true">IF(OR(R439="",R439=0),"",EDATE(TODAY(),R439))</f>
        <v/>
      </c>
      <c r="T439" s="42"/>
    </row>
    <row r="440" customFormat="false" ht="21.75" hidden="false" customHeight="true" outlineLevel="0" collapsed="false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51" t="str">
        <f aca="true">IF(OR(R440="",R440=0),"",EDATE(TODAY(),R440))</f>
        <v/>
      </c>
      <c r="T440" s="37"/>
    </row>
    <row r="441" customFormat="false" ht="21.75" hidden="false" customHeight="true" outlineLevel="0" collapsed="false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52" t="str">
        <f aca="true">IF(OR(R441="",R441=0),"",EDATE(TODAY(),R441))</f>
        <v/>
      </c>
      <c r="T441" s="42"/>
    </row>
    <row r="442" customFormat="false" ht="21.75" hidden="false" customHeight="true" outlineLevel="0" collapsed="false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51" t="str">
        <f aca="true">IF(OR(R442="",R442=0),"",EDATE(TODAY(),R442))</f>
        <v/>
      </c>
      <c r="T442" s="37"/>
    </row>
    <row r="443" customFormat="false" ht="21.75" hidden="false" customHeight="true" outlineLevel="0" collapsed="false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52" t="str">
        <f aca="true">IF(OR(R443="",R443=0),"",EDATE(TODAY(),R443))</f>
        <v/>
      </c>
      <c r="T443" s="42"/>
    </row>
    <row r="444" customFormat="false" ht="21.75" hidden="false" customHeight="true" outlineLevel="0" collapsed="false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51" t="str">
        <f aca="true">IF(OR(R444="",R444=0),"",EDATE(TODAY(),R444))</f>
        <v/>
      </c>
      <c r="T444" s="37"/>
    </row>
    <row r="445" customFormat="false" ht="21.75" hidden="false" customHeight="true" outlineLevel="0" collapsed="false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52" t="str">
        <f aca="true">IF(OR(R445="",R445=0),"",EDATE(TODAY(),R445))</f>
        <v/>
      </c>
      <c r="T445" s="42"/>
    </row>
    <row r="446" customFormat="false" ht="21.75" hidden="false" customHeight="true" outlineLevel="0" collapsed="false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51" t="str">
        <f aca="true">IF(OR(R446="",R446=0),"",EDATE(TODAY(),R446))</f>
        <v/>
      </c>
      <c r="T446" s="37"/>
    </row>
    <row r="447" customFormat="false" ht="21.75" hidden="false" customHeight="true" outlineLevel="0" collapsed="false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52" t="str">
        <f aca="true">IF(OR(R447="",R447=0),"",EDATE(TODAY(),R447))</f>
        <v/>
      </c>
      <c r="T447" s="42"/>
    </row>
    <row r="448" customFormat="false" ht="21.75" hidden="false" customHeight="true" outlineLevel="0" collapsed="false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51" t="str">
        <f aca="true">IF(OR(R448="",R448=0),"",EDATE(TODAY(),R448))</f>
        <v/>
      </c>
      <c r="T448" s="37"/>
    </row>
    <row r="449" customFormat="false" ht="21.75" hidden="false" customHeight="true" outlineLevel="0" collapsed="false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52" t="str">
        <f aca="true">IF(OR(R449="",R449=0),"",EDATE(TODAY(),R449))</f>
        <v/>
      </c>
      <c r="T449" s="42"/>
    </row>
    <row r="450" customFormat="false" ht="21.75" hidden="false" customHeight="true" outlineLevel="0" collapsed="false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51" t="str">
        <f aca="true">IF(OR(R450="",R450=0),"",EDATE(TODAY(),R450))</f>
        <v/>
      </c>
      <c r="T450" s="37"/>
    </row>
    <row r="451" customFormat="false" ht="21.75" hidden="false" customHeight="true" outlineLevel="0" collapsed="false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52" t="str">
        <f aca="true">IF(OR(R451="",R451=0),"",EDATE(TODAY(),R451))</f>
        <v/>
      </c>
      <c r="T451" s="42"/>
    </row>
    <row r="452" customFormat="false" ht="21.75" hidden="false" customHeight="true" outlineLevel="0" collapsed="false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51" t="str">
        <f aca="true">IF(OR(R452="",R452=0),"",EDATE(TODAY(),R452))</f>
        <v/>
      </c>
      <c r="T452" s="37"/>
    </row>
    <row r="453" customFormat="false" ht="21.75" hidden="false" customHeight="true" outlineLevel="0" collapsed="false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52" t="str">
        <f aca="true">IF(OR(R453="",R453=0),"",EDATE(TODAY(),R453))</f>
        <v/>
      </c>
      <c r="T453" s="42"/>
    </row>
    <row r="454" customFormat="false" ht="21.75" hidden="false" customHeight="true" outlineLevel="0" collapsed="false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51" t="str">
        <f aca="true">IF(OR(R454="",R454=0),"",EDATE(TODAY(),R454))</f>
        <v/>
      </c>
      <c r="T454" s="37"/>
    </row>
    <row r="455" customFormat="false" ht="21.75" hidden="false" customHeight="true" outlineLevel="0" collapsed="false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52" t="str">
        <f aca="true">IF(OR(R455="",R455=0),"",EDATE(TODAY(),R455))</f>
        <v/>
      </c>
      <c r="T455" s="42"/>
    </row>
    <row r="456" customFormat="false" ht="21.75" hidden="false" customHeight="true" outlineLevel="0" collapsed="false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51" t="str">
        <f aca="true">IF(OR(R456="",R456=0),"",EDATE(TODAY(),R456))</f>
        <v/>
      </c>
      <c r="T456" s="37"/>
    </row>
    <row r="457" customFormat="false" ht="21.75" hidden="false" customHeight="true" outlineLevel="0" collapsed="false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52" t="str">
        <f aca="true">IF(OR(R457="",R457=0),"",EDATE(TODAY(),R457))</f>
        <v/>
      </c>
      <c r="T457" s="42"/>
    </row>
    <row r="458" customFormat="false" ht="21.75" hidden="false" customHeight="true" outlineLevel="0" collapsed="false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51" t="str">
        <f aca="true">IF(OR(R458="",R458=0),"",EDATE(TODAY(),R458))</f>
        <v/>
      </c>
      <c r="T458" s="37"/>
    </row>
    <row r="459" customFormat="false" ht="21.75" hidden="false" customHeight="true" outlineLevel="0" collapsed="false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52" t="str">
        <f aca="true">IF(OR(R459="",R459=0),"",EDATE(TODAY(),R459))</f>
        <v/>
      </c>
      <c r="T459" s="42"/>
    </row>
    <row r="460" customFormat="false" ht="21.75" hidden="false" customHeight="true" outlineLevel="0" collapsed="false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51" t="str">
        <f aca="true">IF(OR(R460="",R460=0),"",EDATE(TODAY(),R460))</f>
        <v/>
      </c>
      <c r="T460" s="37"/>
    </row>
    <row r="461" customFormat="false" ht="21.75" hidden="false" customHeight="true" outlineLevel="0" collapsed="false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52" t="str">
        <f aca="true">IF(OR(R461="",R461=0),"",EDATE(TODAY(),R461))</f>
        <v/>
      </c>
      <c r="T461" s="42"/>
    </row>
    <row r="462" customFormat="false" ht="21.75" hidden="false" customHeight="true" outlineLevel="0" collapsed="false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51" t="str">
        <f aca="true">IF(OR(R462="",R462=0),"",EDATE(TODAY(),R462))</f>
        <v/>
      </c>
      <c r="T462" s="37"/>
    </row>
    <row r="463" customFormat="false" ht="21.75" hidden="false" customHeight="true" outlineLevel="0" collapsed="false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52" t="str">
        <f aca="true">IF(OR(R463="",R463=0),"",EDATE(TODAY(),R463))</f>
        <v/>
      </c>
      <c r="T463" s="42"/>
    </row>
    <row r="464" customFormat="false" ht="21.75" hidden="false" customHeight="true" outlineLevel="0" collapsed="false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51" t="str">
        <f aca="true">IF(OR(R464="",R464=0),"",EDATE(TODAY(),R464))</f>
        <v/>
      </c>
      <c r="T464" s="37"/>
    </row>
    <row r="465" customFormat="false" ht="21.75" hidden="false" customHeight="true" outlineLevel="0" collapsed="false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52" t="str">
        <f aca="true">IF(OR(R465="",R465=0),"",EDATE(TODAY(),R465))</f>
        <v/>
      </c>
      <c r="T465" s="42"/>
    </row>
    <row r="466" customFormat="false" ht="21.75" hidden="false" customHeight="true" outlineLevel="0" collapsed="false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51" t="str">
        <f aca="true">IF(OR(R466="",R466=0),"",EDATE(TODAY(),R466))</f>
        <v/>
      </c>
      <c r="T466" s="37"/>
    </row>
    <row r="467" customFormat="false" ht="21.75" hidden="false" customHeight="true" outlineLevel="0" collapsed="false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52" t="str">
        <f aca="true">IF(OR(R467="",R467=0),"",EDATE(TODAY(),R467))</f>
        <v/>
      </c>
      <c r="T467" s="42"/>
    </row>
    <row r="468" customFormat="false" ht="21.75" hidden="false" customHeight="true" outlineLevel="0" collapsed="false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51" t="str">
        <f aca="true">IF(OR(R468="",R468=0),"",EDATE(TODAY(),R468))</f>
        <v/>
      </c>
      <c r="T468" s="37"/>
    </row>
    <row r="469" customFormat="false" ht="21.75" hidden="false" customHeight="true" outlineLevel="0" collapsed="false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52" t="str">
        <f aca="true">IF(OR(R469="",R469=0),"",EDATE(TODAY(),R469))</f>
        <v/>
      </c>
      <c r="T469" s="42"/>
    </row>
    <row r="470" customFormat="false" ht="21.75" hidden="false" customHeight="true" outlineLevel="0" collapsed="false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51" t="str">
        <f aca="true">IF(OR(R470="",R470=0),"",EDATE(TODAY(),R470))</f>
        <v/>
      </c>
      <c r="T470" s="37"/>
    </row>
    <row r="471" customFormat="false" ht="21.75" hidden="false" customHeight="true" outlineLevel="0" collapsed="false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52" t="str">
        <f aca="true">IF(OR(R471="",R471=0),"",EDATE(TODAY(),R471))</f>
        <v/>
      </c>
      <c r="T471" s="42"/>
    </row>
    <row r="472" customFormat="false" ht="21.75" hidden="false" customHeight="true" outlineLevel="0" collapsed="false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51" t="str">
        <f aca="true">IF(OR(R472="",R472=0),"",EDATE(TODAY(),R472))</f>
        <v/>
      </c>
      <c r="T472" s="37"/>
    </row>
    <row r="473" customFormat="false" ht="21.75" hidden="false" customHeight="true" outlineLevel="0" collapsed="false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52" t="str">
        <f aca="true">IF(OR(R473="",R473=0),"",EDATE(TODAY(),R473))</f>
        <v/>
      </c>
      <c r="T473" s="42"/>
    </row>
    <row r="474" customFormat="false" ht="21.75" hidden="false" customHeight="true" outlineLevel="0" collapsed="false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51" t="str">
        <f aca="true">IF(OR(R474="",R474=0),"",EDATE(TODAY(),R474))</f>
        <v/>
      </c>
      <c r="T474" s="37"/>
    </row>
    <row r="475" customFormat="false" ht="21.75" hidden="false" customHeight="true" outlineLevel="0" collapsed="false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52" t="str">
        <f aca="true">IF(OR(R475="",R475=0),"",EDATE(TODAY(),R475))</f>
        <v/>
      </c>
      <c r="T475" s="42"/>
    </row>
    <row r="476" customFormat="false" ht="21.75" hidden="false" customHeight="true" outlineLevel="0" collapsed="false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51" t="str">
        <f aca="true">IF(OR(R476="",R476=0),"",EDATE(TODAY(),R476))</f>
        <v/>
      </c>
      <c r="T476" s="37"/>
    </row>
    <row r="477" customFormat="false" ht="21.75" hidden="false" customHeight="true" outlineLevel="0" collapsed="false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52" t="str">
        <f aca="true">IF(OR(R477="",R477=0),"",EDATE(TODAY(),R477))</f>
        <v/>
      </c>
      <c r="T477" s="42"/>
    </row>
    <row r="478" customFormat="false" ht="21.75" hidden="false" customHeight="true" outlineLevel="0" collapsed="false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51" t="str">
        <f aca="true">IF(OR(R478="",R478=0),"",EDATE(TODAY(),R478))</f>
        <v/>
      </c>
      <c r="T478" s="37"/>
    </row>
    <row r="479" customFormat="false" ht="21.75" hidden="false" customHeight="true" outlineLevel="0" collapsed="false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52" t="str">
        <f aca="true">IF(OR(R479="",R479=0),"",EDATE(TODAY(),R479))</f>
        <v/>
      </c>
      <c r="T479" s="42"/>
    </row>
    <row r="480" customFormat="false" ht="21.75" hidden="false" customHeight="true" outlineLevel="0" collapsed="false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51" t="str">
        <f aca="true">IF(OR(R480="",R480=0),"",EDATE(TODAY(),R480))</f>
        <v/>
      </c>
      <c r="T480" s="37"/>
    </row>
    <row r="481" customFormat="false" ht="21.75" hidden="false" customHeight="true" outlineLevel="0" collapsed="false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52" t="str">
        <f aca="true">IF(OR(R481="",R481=0),"",EDATE(TODAY(),R481))</f>
        <v/>
      </c>
      <c r="T481" s="42"/>
    </row>
    <row r="482" customFormat="false" ht="21.75" hidden="false" customHeight="true" outlineLevel="0" collapsed="false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51" t="str">
        <f aca="true">IF(OR(R482="",R482=0),"",EDATE(TODAY(),R482))</f>
        <v/>
      </c>
      <c r="T482" s="37"/>
    </row>
    <row r="483" customFormat="false" ht="21.75" hidden="false" customHeight="true" outlineLevel="0" collapsed="false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52" t="str">
        <f aca="true">IF(OR(R483="",R483=0),"",EDATE(TODAY(),R483))</f>
        <v/>
      </c>
      <c r="T483" s="42"/>
    </row>
    <row r="484" customFormat="false" ht="21.75" hidden="false" customHeight="true" outlineLevel="0" collapsed="false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51" t="str">
        <f aca="true">IF(OR(R484="",R484=0),"",EDATE(TODAY(),R484))</f>
        <v/>
      </c>
      <c r="T484" s="37"/>
    </row>
    <row r="485" customFormat="false" ht="21.75" hidden="false" customHeight="true" outlineLevel="0" collapsed="false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52" t="str">
        <f aca="true">IF(OR(R485="",R485=0),"",EDATE(TODAY(),R485))</f>
        <v/>
      </c>
      <c r="T485" s="42"/>
    </row>
    <row r="486" customFormat="false" ht="21.75" hidden="false" customHeight="true" outlineLevel="0" collapsed="false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51" t="str">
        <f aca="true">IF(OR(R486="",R486=0),"",EDATE(TODAY(),R486))</f>
        <v/>
      </c>
      <c r="T486" s="37"/>
    </row>
    <row r="487" customFormat="false" ht="21.75" hidden="false" customHeight="true" outlineLevel="0" collapsed="false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52" t="str">
        <f aca="true">IF(OR(R487="",R487=0),"",EDATE(TODAY(),R487))</f>
        <v/>
      </c>
      <c r="T487" s="42"/>
    </row>
    <row r="488" customFormat="false" ht="21.75" hidden="false" customHeight="true" outlineLevel="0" collapsed="false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51" t="str">
        <f aca="true">IF(OR(R488="",R488=0),"",EDATE(TODAY(),R488))</f>
        <v/>
      </c>
      <c r="T488" s="37"/>
    </row>
    <row r="489" customFormat="false" ht="21.75" hidden="false" customHeight="true" outlineLevel="0" collapsed="false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52" t="str">
        <f aca="true">IF(OR(R489="",R489=0),"",EDATE(TODAY(),R489))</f>
        <v/>
      </c>
      <c r="T489" s="42"/>
    </row>
    <row r="490" customFormat="false" ht="21.75" hidden="false" customHeight="true" outlineLevel="0" collapsed="false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51" t="str">
        <f aca="true">IF(OR(R490="",R490=0),"",EDATE(TODAY(),R490))</f>
        <v/>
      </c>
      <c r="T490" s="37"/>
    </row>
    <row r="491" customFormat="false" ht="21.75" hidden="false" customHeight="true" outlineLevel="0" collapsed="false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52" t="str">
        <f aca="true">IF(OR(R491="",R491=0),"",EDATE(TODAY(),R491))</f>
        <v/>
      </c>
      <c r="T491" s="42"/>
    </row>
    <row r="492" customFormat="false" ht="21.75" hidden="false" customHeight="true" outlineLevel="0" collapsed="false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51" t="str">
        <f aca="true">IF(OR(R492="",R492=0),"",EDATE(TODAY(),R492))</f>
        <v/>
      </c>
      <c r="T492" s="37"/>
    </row>
    <row r="493" customFormat="false" ht="21.75" hidden="false" customHeight="true" outlineLevel="0" collapsed="false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52" t="str">
        <f aca="true">IF(OR(R493="",R493=0),"",EDATE(TODAY(),R493))</f>
        <v/>
      </c>
      <c r="T493" s="42"/>
    </row>
    <row r="494" customFormat="false" ht="21.75" hidden="false" customHeight="true" outlineLevel="0" collapsed="false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51" t="str">
        <f aca="true">IF(OR(R494="",R494=0),"",EDATE(TODAY(),R494))</f>
        <v/>
      </c>
      <c r="T494" s="37"/>
    </row>
    <row r="495" customFormat="false" ht="21.75" hidden="false" customHeight="true" outlineLevel="0" collapsed="false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52" t="str">
        <f aca="true">IF(OR(R495="",R495=0),"",EDATE(TODAY(),R495))</f>
        <v/>
      </c>
      <c r="T495" s="42"/>
    </row>
    <row r="496" customFormat="false" ht="21.75" hidden="false" customHeight="true" outlineLevel="0" collapsed="false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51" t="str">
        <f aca="true">IF(OR(R496="",R496=0),"",EDATE(TODAY(),R496))</f>
        <v/>
      </c>
      <c r="T496" s="37"/>
    </row>
    <row r="497" customFormat="false" ht="21.75" hidden="false" customHeight="true" outlineLevel="0" collapsed="false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52" t="str">
        <f aca="true">IF(OR(R497="",R497=0),"",EDATE(TODAY(),R497))</f>
        <v/>
      </c>
      <c r="T497" s="42"/>
    </row>
    <row r="498" customFormat="false" ht="21.75" hidden="false" customHeight="true" outlineLevel="0" collapsed="false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51" t="str">
        <f aca="true">IF(OR(R498="",R498=0),"",EDATE(TODAY(),R498))</f>
        <v/>
      </c>
      <c r="T498" s="37"/>
    </row>
    <row r="499" customFormat="false" ht="21.75" hidden="false" customHeight="true" outlineLevel="0" collapsed="false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52" t="str">
        <f aca="true">IF(OR(R499="",R499=0),"",EDATE(TODAY(),R499))</f>
        <v/>
      </c>
      <c r="T499" s="42"/>
    </row>
    <row r="500" customFormat="false" ht="21.75" hidden="false" customHeight="true" outlineLevel="0" collapsed="false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51" t="str">
        <f aca="true">IF(OR(R500="",R500=0),"",EDATE(TODAY(),R500))</f>
        <v/>
      </c>
      <c r="T500" s="37"/>
    </row>
    <row r="501" customFormat="false" ht="21.75" hidden="false" customHeight="true" outlineLevel="0" collapsed="false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52" t="str">
        <f aca="true">IF(OR(R501="",R501=0),"",EDATE(TODAY(),R501))</f>
        <v/>
      </c>
      <c r="T501" s="42"/>
    </row>
  </sheetData>
  <conditionalFormatting sqref="P2:P5001">
    <cfRule type="expression" priority="2" aboveAverage="0" equalAverage="0" bottom="0" percent="0" rank="0" text="" dxfId="10">
      <formula>$P2="✅ COMPLET"</formula>
    </cfRule>
    <cfRule type="expression" priority="3" aboveAverage="0" equalAverage="0" bottom="0" percent="0" rank="0" text="" dxfId="3">
      <formula>$P2="⚠️ INCOMPLET"</formula>
    </cfRule>
    <cfRule type="expression" priority="4" aboveAverage="0" equalAverage="0" bottom="0" percent="0" rank="0" text="" dxfId="4">
      <formula>$P2="❌ BLOQUANT"</formula>
    </cfRule>
    <cfRule type="expression" priority="5" aboveAverage="0" equalAverage="0" bottom="0" percent="0" rank="0" text="" dxfId="2">
      <formula>$P2="📋 EN COURS"</formula>
    </cfRule>
  </conditionalFormatting>
  <conditionalFormatting sqref="I2:I5001">
    <cfRule type="expression" priority="6" aboveAverage="0" equalAverage="0" bottom="0" percent="0" rank="0" text="" dxfId="3">
      <formula>AND(I2&lt;&gt;"",I2&lt;TODAY()+30,I2&gt;=TODAY())</formula>
    </cfRule>
    <cfRule type="expression" priority="7" aboveAverage="0" equalAverage="0" bottom="0" percent="0" rank="0" text="" dxfId="4">
      <formula>AND(I2&lt;&gt;"",I2&lt;TODAY())</formula>
    </cfRule>
  </conditionalFormatting>
  <dataValidations count="3">
    <dataValidation allowBlank="false" errorStyle="stop" operator="between" showDropDown="false" showErrorMessage="false" showInputMessage="false" sqref="E2:E1501 H2:H1501 L2:L1501 N2:N1501" type="list">
      <formula1>"✅ Oui,❌ Non,⏳ En attente"</formula1>
      <formula2>0</formula2>
    </dataValidation>
    <dataValidation allowBlank="false" errorStyle="stop" operator="between" showDropDown="false" showErrorMessage="false" showInputMessage="false" sqref="J2:J1501" type="list">
      <formula1>"✅ Favorable,⚠️ Défavorable,🔄 À faire,N/A"</formula1>
      <formula2>0</formula2>
    </dataValidation>
    <dataValidation allowBlank="false" errorStyle="stop" operator="between" showDropDown="false" showErrorMessage="false" showInputMessage="false" sqref="P2:P1501" type="list">
      <formula1>"✅ COMPLET,⚠️ INCOMPLET,❌ BLOQUANT,📋 EN COURS"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D03F"/>
    <pageSetUpPr fitToPage="false"/>
  </sheetPr>
  <dimension ref="A1:O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4" min="4" style="1" width="26"/>
    <col collapsed="false" customWidth="true" hidden="false" outlineLevel="0" max="5" min="5" style="1" width="13"/>
    <col collapsed="false" customWidth="true" hidden="false" outlineLevel="0" max="6" min="6" style="1" width="9"/>
    <col collapsed="false" customWidth="true" hidden="false" outlineLevel="0" max="7" min="7" style="1" width="13"/>
    <col collapsed="false" customWidth="true" hidden="false" outlineLevel="0" max="8" min="8" style="1" width="15"/>
    <col collapsed="false" customWidth="true" hidden="false" outlineLevel="0" max="9" min="9" style="1" width="14"/>
    <col collapsed="false" customWidth="true" hidden="false" outlineLevel="0" max="11" min="10" style="1" width="7"/>
    <col collapsed="false" customWidth="true" hidden="false" outlineLevel="0" max="12" min="12" style="1" width="24"/>
    <col collapsed="false" customWidth="true" hidden="false" outlineLevel="0" max="14" min="14" style="1" width="22"/>
    <col collapsed="false" customWidth="true" hidden="false" outlineLevel="0" max="15" min="15" style="1" width="15"/>
  </cols>
  <sheetData>
    <row r="1" customFormat="false" ht="49.5" hidden="false" customHeight="true" outlineLevel="0" collapsed="false">
      <c r="A1" s="53" t="s">
        <v>126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N1" s="54" t="s">
        <v>127</v>
      </c>
      <c r="O1" s="54"/>
    </row>
    <row r="2" customFormat="false" ht="37.5" hidden="false" customHeight="true" outlineLevel="0" collapsed="false">
      <c r="A2" s="55" t="s">
        <v>128</v>
      </c>
      <c r="B2" s="55" t="s">
        <v>129</v>
      </c>
      <c r="C2" s="55" t="s">
        <v>130</v>
      </c>
      <c r="D2" s="55" t="s">
        <v>131</v>
      </c>
      <c r="E2" s="55" t="s">
        <v>132</v>
      </c>
      <c r="F2" s="55" t="s">
        <v>133</v>
      </c>
      <c r="G2" s="55" t="s">
        <v>134</v>
      </c>
      <c r="H2" s="55" t="s">
        <v>103</v>
      </c>
      <c r="I2" s="55" t="s">
        <v>135</v>
      </c>
      <c r="J2" s="55" t="s">
        <v>136</v>
      </c>
      <c r="K2" s="55" t="s">
        <v>36</v>
      </c>
      <c r="L2" s="55" t="s">
        <v>73</v>
      </c>
    </row>
    <row r="3" customFormat="false" ht="30" hidden="false" customHeight="true" outlineLevel="0" collapsed="false">
      <c r="A3" s="37"/>
      <c r="B3" s="37"/>
      <c r="C3" s="37"/>
      <c r="D3" s="37"/>
      <c r="E3" s="37"/>
      <c r="F3" s="40" t="str">
        <f aca="false">IF(E3="","",ROUND(E3*0.2,2))</f>
        <v/>
      </c>
      <c r="G3" s="40" t="str">
        <f aca="false">IF(E3="","",E3+F3)</f>
        <v/>
      </c>
      <c r="H3" s="37"/>
      <c r="I3" s="37"/>
      <c r="J3" s="37" t="str">
        <f aca="false">IF(A3="","",MONTH(A3))</f>
        <v/>
      </c>
      <c r="K3" s="37" t="str">
        <f aca="false">IF(A3="","",YEAR(A3))</f>
        <v/>
      </c>
      <c r="L3" s="37"/>
      <c r="N3" s="56" t="s">
        <v>137</v>
      </c>
      <c r="O3" s="57" t="n">
        <f aca="true">SUMPRODUCT((VENTES!E2:E5001&gt;=DATE(YEAR(TODAY()),MONTH(TODAY()),1))*(VENTES!E2:E5001&lt;=EOMONTH(TODAY(),0))*(VENTES!I2:I5001))</f>
        <v>0</v>
      </c>
    </row>
    <row r="4" customFormat="false" ht="30" hidden="false" customHeight="true" outlineLevel="0" collapsed="false">
      <c r="A4" s="42"/>
      <c r="B4" s="42"/>
      <c r="C4" s="42"/>
      <c r="D4" s="42"/>
      <c r="E4" s="42"/>
      <c r="F4" s="45" t="str">
        <f aca="false">IF(E4="","",ROUND(E4*0.2,2))</f>
        <v/>
      </c>
      <c r="G4" s="45" t="str">
        <f aca="false">IF(E4="","",E4+F4)</f>
        <v/>
      </c>
      <c r="H4" s="42"/>
      <c r="I4" s="42"/>
      <c r="J4" s="42" t="str">
        <f aca="false">IF(A4="","",MONTH(A4))</f>
        <v/>
      </c>
      <c r="K4" s="42" t="str">
        <f aca="false">IF(A4="","",YEAR(A4))</f>
        <v/>
      </c>
      <c r="L4" s="42"/>
      <c r="N4" s="58" t="s">
        <v>138</v>
      </c>
      <c r="O4" s="59" t="n">
        <f aca="true">IFERROR(SUMPRODUCT((FINANCE!J3:J502=MONTH(TODAY()))*(FINANCE!K3:K502=YEAR(TODAY()))*(FINANCE!B3:B502="Achats véhicules")*(FINANCE!G3:G502)),0)</f>
        <v>0</v>
      </c>
    </row>
    <row r="5" customFormat="false" ht="30" hidden="false" customHeight="true" outlineLevel="0" collapsed="false">
      <c r="A5" s="37"/>
      <c r="B5" s="37"/>
      <c r="C5" s="37"/>
      <c r="D5" s="37"/>
      <c r="E5" s="37"/>
      <c r="F5" s="40" t="str">
        <f aca="false">IF(E5="","",ROUND(E5*0.2,2))</f>
        <v/>
      </c>
      <c r="G5" s="40" t="str">
        <f aca="false">IF(E5="","",E5+F5)</f>
        <v/>
      </c>
      <c r="H5" s="37"/>
      <c r="I5" s="37"/>
      <c r="J5" s="37" t="str">
        <f aca="false">IF(A5="","",MONTH(A5))</f>
        <v/>
      </c>
      <c r="K5" s="37" t="str">
        <f aca="false">IF(A5="","",YEAR(A5))</f>
        <v/>
      </c>
      <c r="L5" s="37"/>
      <c r="N5" s="58" t="s">
        <v>55</v>
      </c>
      <c r="O5" s="59" t="n">
        <f aca="true">IFERROR(SUMPRODUCT((FINANCE!J3:J502=MONTH(TODAY()))*(FINANCE!K3:K502=YEAR(TODAY()))*(FINANCE!B3:B502="Réparations")*(FINANCE!G3:G502)),0)</f>
        <v>0</v>
      </c>
    </row>
    <row r="6" customFormat="false" ht="30" hidden="false" customHeight="true" outlineLevel="0" collapsed="false">
      <c r="A6" s="42"/>
      <c r="B6" s="42"/>
      <c r="C6" s="42"/>
      <c r="D6" s="42"/>
      <c r="E6" s="42"/>
      <c r="F6" s="45" t="str">
        <f aca="false">IF(E6="","",ROUND(E6*0.2,2))</f>
        <v/>
      </c>
      <c r="G6" s="45" t="str">
        <f aca="false">IF(E6="","",E6+F6)</f>
        <v/>
      </c>
      <c r="H6" s="42"/>
      <c r="I6" s="42"/>
      <c r="J6" s="42" t="str">
        <f aca="false">IF(A6="","",MONTH(A6))</f>
        <v/>
      </c>
      <c r="K6" s="42" t="str">
        <f aca="false">IF(A6="","",YEAR(A6))</f>
        <v/>
      </c>
      <c r="L6" s="42"/>
      <c r="N6" s="58" t="s">
        <v>139</v>
      </c>
      <c r="O6" s="59" t="n">
        <f aca="true">IFERROR(SUMPRODUCT((FINANCE!J3:J502=MONTH(TODAY()))*(FINANCE!K3:K502=YEAR(TODAY()))*(FINANCE!B3:B502="Publicité")*(FINANCE!G3:G502)),0)</f>
        <v>0</v>
      </c>
    </row>
    <row r="7" customFormat="false" ht="30" hidden="false" customHeight="true" outlineLevel="0" collapsed="false">
      <c r="A7" s="37"/>
      <c r="B7" s="37"/>
      <c r="C7" s="37"/>
      <c r="D7" s="37"/>
      <c r="E7" s="37"/>
      <c r="F7" s="40" t="str">
        <f aca="false">IF(E7="","",ROUND(E7*0.2,2))</f>
        <v/>
      </c>
      <c r="G7" s="40" t="str">
        <f aca="false">IF(E7="","",E7+F7)</f>
        <v/>
      </c>
      <c r="H7" s="37"/>
      <c r="I7" s="37"/>
      <c r="J7" s="37" t="str">
        <f aca="false">IF(A7="","",MONTH(A7))</f>
        <v/>
      </c>
      <c r="K7" s="37" t="str">
        <f aca="false">IF(A7="","",YEAR(A7))</f>
        <v/>
      </c>
      <c r="L7" s="37"/>
      <c r="N7" s="58" t="s">
        <v>140</v>
      </c>
      <c r="O7" s="59" t="n">
        <f aca="true">IFERROR(SUMPRODUCT((FINANCE!J3:J502=MONTH(TODAY()))*(FINANCE!K3:K502=YEAR(TODAY()))*(FINANCE!B3:B502="Loyer")*(FINANCE!G3:G502)),0)+IFERROR(SUMPRODUCT((FINANCE!J3:J502=MONTH(TODAY()))*(FINANCE!K3:K502=YEAR(TODAY()))*(FINANCE!B3:B502="Assurance")*(FINANCE!G3:G502)),0)</f>
        <v>0</v>
      </c>
    </row>
    <row r="8" customFormat="false" ht="30" hidden="false" customHeight="true" outlineLevel="0" collapsed="false">
      <c r="A8" s="42"/>
      <c r="B8" s="42"/>
      <c r="C8" s="42"/>
      <c r="D8" s="42"/>
      <c r="E8" s="42"/>
      <c r="F8" s="45" t="str">
        <f aca="false">IF(E8="","",ROUND(E8*0.2,2))</f>
        <v/>
      </c>
      <c r="G8" s="45" t="str">
        <f aca="false">IF(E8="","",E8+F8)</f>
        <v/>
      </c>
      <c r="H8" s="42"/>
      <c r="I8" s="42"/>
      <c r="J8" s="42" t="str">
        <f aca="false">IF(A8="","",MONTH(A8))</f>
        <v/>
      </c>
      <c r="K8" s="42" t="str">
        <f aca="false">IF(A8="","",YEAR(A8))</f>
        <v/>
      </c>
      <c r="L8" s="42"/>
      <c r="N8" s="58" t="s">
        <v>141</v>
      </c>
      <c r="O8" s="59" t="n">
        <f aca="true">IFERROR(SUMPRODUCT((FINANCE!J3:J502=MONTH(TODAY()))*(FINANCE!K3:K502=YEAR(TODAY()))*(FINANCE!B3:B502="Salaires")*(FINANCE!G3:G502)),0)</f>
        <v>0</v>
      </c>
    </row>
    <row r="9" customFormat="false" ht="30" hidden="false" customHeight="true" outlineLevel="0" collapsed="false">
      <c r="A9" s="37"/>
      <c r="B9" s="37"/>
      <c r="C9" s="37"/>
      <c r="D9" s="37"/>
      <c r="E9" s="37"/>
      <c r="F9" s="40" t="str">
        <f aca="false">IF(E9="","",ROUND(E9*0.2,2))</f>
        <v/>
      </c>
      <c r="G9" s="40" t="str">
        <f aca="false">IF(E9="","",E9+F9)</f>
        <v/>
      </c>
      <c r="H9" s="37"/>
      <c r="I9" s="37"/>
      <c r="J9" s="37" t="str">
        <f aca="false">IF(A9="","",MONTH(A9))</f>
        <v/>
      </c>
      <c r="K9" s="37" t="str">
        <f aca="false">IF(A9="","",YEAR(A9))</f>
        <v/>
      </c>
      <c r="L9" s="37"/>
      <c r="N9" s="58" t="s">
        <v>142</v>
      </c>
      <c r="O9" s="59" t="n">
        <f aca="true">IFERROR(SUMPRODUCT((FINANCE!J3:J502=MONTH(TODAY()))*(FINANCE!K3:K502=YEAR(TODAY()))*(FINANCE!B3:B502="Transport")*(FINANCE!G3:G502)),0)</f>
        <v>0</v>
      </c>
    </row>
    <row r="10" customFormat="false" ht="30" hidden="false" customHeight="true" outlineLevel="0" collapsed="false">
      <c r="A10" s="42"/>
      <c r="B10" s="42"/>
      <c r="C10" s="42"/>
      <c r="D10" s="42"/>
      <c r="E10" s="42"/>
      <c r="F10" s="45" t="str">
        <f aca="false">IF(E10="","",ROUND(E10*0.2,2))</f>
        <v/>
      </c>
      <c r="G10" s="45" t="str">
        <f aca="false">IF(E10="","",E10+F10)</f>
        <v/>
      </c>
      <c r="H10" s="42"/>
      <c r="I10" s="42"/>
      <c r="J10" s="42" t="str">
        <f aca="false">IF(A10="","",MONTH(A10))</f>
        <v/>
      </c>
      <c r="K10" s="42" t="str">
        <f aca="false">IF(A10="","",YEAR(A10))</f>
        <v/>
      </c>
      <c r="L10" s="42"/>
      <c r="N10" s="58" t="s">
        <v>143</v>
      </c>
      <c r="O10" s="60" t="n">
        <f aca="true">IFERROR(SUMPRODUCT((FINANCE!J3:J502=MONTH(TODAY()))*(FINANCE!K3:K502=YEAR(TODAY()))*(FINANCE!G3:G502)),0)-O4-O5-O6-O7-O8-O9</f>
        <v>0</v>
      </c>
    </row>
    <row r="11" customFormat="false" ht="30" hidden="false" customHeight="true" outlineLevel="0" collapsed="false">
      <c r="A11" s="37"/>
      <c r="B11" s="37"/>
      <c r="C11" s="37"/>
      <c r="D11" s="37"/>
      <c r="E11" s="37"/>
      <c r="F11" s="40" t="str">
        <f aca="false">IF(E11="","",ROUND(E11*0.2,2))</f>
        <v/>
      </c>
      <c r="G11" s="40" t="str">
        <f aca="false">IF(E11="","",E11+F11)</f>
        <v/>
      </c>
      <c r="H11" s="37"/>
      <c r="I11" s="37"/>
      <c r="J11" s="37" t="str">
        <f aca="false">IF(A11="","",MONTH(A11))</f>
        <v/>
      </c>
      <c r="K11" s="37" t="str">
        <f aca="false">IF(A11="","",YEAR(A11))</f>
        <v/>
      </c>
      <c r="L11" s="37"/>
      <c r="N11" s="61" t="s">
        <v>144</v>
      </c>
      <c r="O11" s="62" t="n">
        <f aca="false">SUM(O4:O10)</f>
        <v>0</v>
      </c>
    </row>
    <row r="12" customFormat="false" ht="30" hidden="false" customHeight="true" outlineLevel="0" collapsed="false">
      <c r="A12" s="42"/>
      <c r="B12" s="42"/>
      <c r="C12" s="42"/>
      <c r="D12" s="42"/>
      <c r="E12" s="42"/>
      <c r="F12" s="45" t="str">
        <f aca="false">IF(E12="","",ROUND(E12*0.2,2))</f>
        <v/>
      </c>
      <c r="G12" s="45" t="str">
        <f aca="false">IF(E12="","",E12+F12)</f>
        <v/>
      </c>
      <c r="H12" s="42"/>
      <c r="I12" s="42"/>
      <c r="J12" s="42" t="str">
        <f aca="false">IF(A12="","",MONTH(A12))</f>
        <v/>
      </c>
      <c r="K12" s="42" t="str">
        <f aca="false">IF(A12="","",YEAR(A12))</f>
        <v/>
      </c>
      <c r="L12" s="42"/>
      <c r="N12" s="63" t="s">
        <v>145</v>
      </c>
      <c r="O12" s="64" t="n">
        <f aca="false">O3-O11</f>
        <v>0</v>
      </c>
    </row>
    <row r="13" customFormat="false" ht="21.75" hidden="false" customHeight="true" outlineLevel="0" collapsed="false">
      <c r="A13" s="37"/>
      <c r="B13" s="37"/>
      <c r="C13" s="37"/>
      <c r="D13" s="37"/>
      <c r="E13" s="37"/>
      <c r="F13" s="40" t="str">
        <f aca="false">IF(E13="","",ROUND(E13*0.2,2))</f>
        <v/>
      </c>
      <c r="G13" s="40" t="str">
        <f aca="false">IF(E13="","",E13+F13)</f>
        <v/>
      </c>
      <c r="H13" s="37"/>
      <c r="I13" s="37"/>
      <c r="J13" s="37" t="str">
        <f aca="false">IF(A13="","",MONTH(A13))</f>
        <v/>
      </c>
      <c r="K13" s="37" t="str">
        <f aca="false">IF(A13="","",YEAR(A13))</f>
        <v/>
      </c>
      <c r="L13" s="37"/>
    </row>
    <row r="14" customFormat="false" ht="21.75" hidden="false" customHeight="true" outlineLevel="0" collapsed="false">
      <c r="A14" s="42"/>
      <c r="B14" s="42"/>
      <c r="C14" s="42"/>
      <c r="D14" s="42"/>
      <c r="E14" s="42"/>
      <c r="F14" s="45" t="str">
        <f aca="false">IF(E14="","",ROUND(E14*0.2,2))</f>
        <v/>
      </c>
      <c r="G14" s="45" t="str">
        <f aca="false">IF(E14="","",E14+F14)</f>
        <v/>
      </c>
      <c r="H14" s="42"/>
      <c r="I14" s="42"/>
      <c r="J14" s="42" t="str">
        <f aca="false">IF(A14="","",MONTH(A14))</f>
        <v/>
      </c>
      <c r="K14" s="42" t="str">
        <f aca="false">IF(A14="","",YEAR(A14))</f>
        <v/>
      </c>
      <c r="L14" s="42"/>
    </row>
    <row r="15" customFormat="false" ht="21.75" hidden="false" customHeight="true" outlineLevel="0" collapsed="false">
      <c r="A15" s="37"/>
      <c r="B15" s="37"/>
      <c r="C15" s="37"/>
      <c r="D15" s="37"/>
      <c r="E15" s="37"/>
      <c r="F15" s="40" t="str">
        <f aca="false">IF(E15="","",ROUND(E15*0.2,2))</f>
        <v/>
      </c>
      <c r="G15" s="40" t="str">
        <f aca="false">IF(E15="","",E15+F15)</f>
        <v/>
      </c>
      <c r="H15" s="37"/>
      <c r="I15" s="37"/>
      <c r="J15" s="37" t="str">
        <f aca="false">IF(A15="","",MONTH(A15))</f>
        <v/>
      </c>
      <c r="K15" s="37" t="str">
        <f aca="false">IF(A15="","",YEAR(A15))</f>
        <v/>
      </c>
      <c r="L15" s="37"/>
    </row>
    <row r="16" customFormat="false" ht="21.75" hidden="false" customHeight="true" outlineLevel="0" collapsed="false">
      <c r="A16" s="42"/>
      <c r="B16" s="42"/>
      <c r="C16" s="42"/>
      <c r="D16" s="42"/>
      <c r="E16" s="42"/>
      <c r="F16" s="45" t="str">
        <f aca="false">IF(E16="","",ROUND(E16*0.2,2))</f>
        <v/>
      </c>
      <c r="G16" s="45" t="str">
        <f aca="false">IF(E16="","",E16+F16)</f>
        <v/>
      </c>
      <c r="H16" s="42"/>
      <c r="I16" s="42"/>
      <c r="J16" s="42" t="str">
        <f aca="false">IF(A16="","",MONTH(A16))</f>
        <v/>
      </c>
      <c r="K16" s="42" t="str">
        <f aca="false">IF(A16="","",YEAR(A16))</f>
        <v/>
      </c>
      <c r="L16" s="42"/>
    </row>
    <row r="17" customFormat="false" ht="21.75" hidden="false" customHeight="true" outlineLevel="0" collapsed="false">
      <c r="A17" s="37"/>
      <c r="B17" s="37"/>
      <c r="C17" s="37"/>
      <c r="D17" s="37"/>
      <c r="E17" s="37"/>
      <c r="F17" s="40" t="str">
        <f aca="false">IF(E17="","",ROUND(E17*0.2,2))</f>
        <v/>
      </c>
      <c r="G17" s="40" t="str">
        <f aca="false">IF(E17="","",E17+F17)</f>
        <v/>
      </c>
      <c r="H17" s="37"/>
      <c r="I17" s="37"/>
      <c r="J17" s="37" t="str">
        <f aca="false">IF(A17="","",MONTH(A17))</f>
        <v/>
      </c>
      <c r="K17" s="37" t="str">
        <f aca="false">IF(A17="","",YEAR(A17))</f>
        <v/>
      </c>
      <c r="L17" s="37"/>
    </row>
    <row r="18" customFormat="false" ht="21.75" hidden="false" customHeight="true" outlineLevel="0" collapsed="false">
      <c r="A18" s="42"/>
      <c r="B18" s="42"/>
      <c r="C18" s="42"/>
      <c r="D18" s="42"/>
      <c r="E18" s="42"/>
      <c r="F18" s="45" t="str">
        <f aca="false">IF(E18="","",ROUND(E18*0.2,2))</f>
        <v/>
      </c>
      <c r="G18" s="45" t="str">
        <f aca="false">IF(E18="","",E18+F18)</f>
        <v/>
      </c>
      <c r="H18" s="42"/>
      <c r="I18" s="42"/>
      <c r="J18" s="42" t="str">
        <f aca="false">IF(A18="","",MONTH(A18))</f>
        <v/>
      </c>
      <c r="K18" s="42" t="str">
        <f aca="false">IF(A18="","",YEAR(A18))</f>
        <v/>
      </c>
      <c r="L18" s="42"/>
    </row>
    <row r="19" customFormat="false" ht="21.75" hidden="false" customHeight="true" outlineLevel="0" collapsed="false">
      <c r="A19" s="37"/>
      <c r="B19" s="37"/>
      <c r="C19" s="37"/>
      <c r="D19" s="37"/>
      <c r="E19" s="37"/>
      <c r="F19" s="40" t="str">
        <f aca="false">IF(E19="","",ROUND(E19*0.2,2))</f>
        <v/>
      </c>
      <c r="G19" s="40" t="str">
        <f aca="false">IF(E19="","",E19+F19)</f>
        <v/>
      </c>
      <c r="H19" s="37"/>
      <c r="I19" s="37"/>
      <c r="J19" s="37" t="str">
        <f aca="false">IF(A19="","",MONTH(A19))</f>
        <v/>
      </c>
      <c r="K19" s="37" t="str">
        <f aca="false">IF(A19="","",YEAR(A19))</f>
        <v/>
      </c>
      <c r="L19" s="37"/>
    </row>
    <row r="20" customFormat="false" ht="21.75" hidden="false" customHeight="true" outlineLevel="0" collapsed="false">
      <c r="A20" s="42"/>
      <c r="B20" s="42"/>
      <c r="C20" s="42"/>
      <c r="D20" s="42"/>
      <c r="E20" s="42"/>
      <c r="F20" s="45" t="str">
        <f aca="false">IF(E20="","",ROUND(E20*0.2,2))</f>
        <v/>
      </c>
      <c r="G20" s="45" t="str">
        <f aca="false">IF(E20="","",E20+F20)</f>
        <v/>
      </c>
      <c r="H20" s="42"/>
      <c r="I20" s="42"/>
      <c r="J20" s="42" t="str">
        <f aca="false">IF(A20="","",MONTH(A20))</f>
        <v/>
      </c>
      <c r="K20" s="42" t="str">
        <f aca="false">IF(A20="","",YEAR(A20))</f>
        <v/>
      </c>
      <c r="L20" s="42"/>
    </row>
    <row r="21" customFormat="false" ht="21.75" hidden="false" customHeight="true" outlineLevel="0" collapsed="false">
      <c r="A21" s="37"/>
      <c r="B21" s="37"/>
      <c r="C21" s="37"/>
      <c r="D21" s="37"/>
      <c r="E21" s="37"/>
      <c r="F21" s="40" t="str">
        <f aca="false">IF(E21="","",ROUND(E21*0.2,2))</f>
        <v/>
      </c>
      <c r="G21" s="40" t="str">
        <f aca="false">IF(E21="","",E21+F21)</f>
        <v/>
      </c>
      <c r="H21" s="37"/>
      <c r="I21" s="37"/>
      <c r="J21" s="37" t="str">
        <f aca="false">IF(A21="","",MONTH(A21))</f>
        <v/>
      </c>
      <c r="K21" s="37" t="str">
        <f aca="false">IF(A21="","",YEAR(A21))</f>
        <v/>
      </c>
      <c r="L21" s="37"/>
    </row>
    <row r="22" customFormat="false" ht="21.75" hidden="false" customHeight="true" outlineLevel="0" collapsed="false">
      <c r="A22" s="42"/>
      <c r="B22" s="42"/>
      <c r="C22" s="42"/>
      <c r="D22" s="42"/>
      <c r="E22" s="42"/>
      <c r="F22" s="45" t="str">
        <f aca="false">IF(E22="","",ROUND(E22*0.2,2))</f>
        <v/>
      </c>
      <c r="G22" s="45" t="str">
        <f aca="false">IF(E22="","",E22+F22)</f>
        <v/>
      </c>
      <c r="H22" s="42"/>
      <c r="I22" s="42"/>
      <c r="J22" s="42" t="str">
        <f aca="false">IF(A22="","",MONTH(A22))</f>
        <v/>
      </c>
      <c r="K22" s="42" t="str">
        <f aca="false">IF(A22="","",YEAR(A22))</f>
        <v/>
      </c>
      <c r="L22" s="42"/>
    </row>
    <row r="23" customFormat="false" ht="21.75" hidden="false" customHeight="true" outlineLevel="0" collapsed="false">
      <c r="A23" s="37"/>
      <c r="B23" s="37"/>
      <c r="C23" s="37"/>
      <c r="D23" s="37"/>
      <c r="E23" s="37"/>
      <c r="F23" s="40" t="str">
        <f aca="false">IF(E23="","",ROUND(E23*0.2,2))</f>
        <v/>
      </c>
      <c r="G23" s="40" t="str">
        <f aca="false">IF(E23="","",E23+F23)</f>
        <v/>
      </c>
      <c r="H23" s="37"/>
      <c r="I23" s="37"/>
      <c r="J23" s="37" t="str">
        <f aca="false">IF(A23="","",MONTH(A23))</f>
        <v/>
      </c>
      <c r="K23" s="37" t="str">
        <f aca="false">IF(A23="","",YEAR(A23))</f>
        <v/>
      </c>
      <c r="L23" s="37"/>
    </row>
    <row r="24" customFormat="false" ht="21.75" hidden="false" customHeight="true" outlineLevel="0" collapsed="false">
      <c r="A24" s="42"/>
      <c r="B24" s="42"/>
      <c r="C24" s="42"/>
      <c r="D24" s="42"/>
      <c r="E24" s="42"/>
      <c r="F24" s="45" t="str">
        <f aca="false">IF(E24="","",ROUND(E24*0.2,2))</f>
        <v/>
      </c>
      <c r="G24" s="45" t="str">
        <f aca="false">IF(E24="","",E24+F24)</f>
        <v/>
      </c>
      <c r="H24" s="42"/>
      <c r="I24" s="42"/>
      <c r="J24" s="42" t="str">
        <f aca="false">IF(A24="","",MONTH(A24))</f>
        <v/>
      </c>
      <c r="K24" s="42" t="str">
        <f aca="false">IF(A24="","",YEAR(A24))</f>
        <v/>
      </c>
      <c r="L24" s="42"/>
    </row>
    <row r="25" customFormat="false" ht="21.75" hidden="false" customHeight="true" outlineLevel="0" collapsed="false">
      <c r="A25" s="37"/>
      <c r="B25" s="37"/>
      <c r="C25" s="37"/>
      <c r="D25" s="37"/>
      <c r="E25" s="37"/>
      <c r="F25" s="40" t="str">
        <f aca="false">IF(E25="","",ROUND(E25*0.2,2))</f>
        <v/>
      </c>
      <c r="G25" s="40" t="str">
        <f aca="false">IF(E25="","",E25+F25)</f>
        <v/>
      </c>
      <c r="H25" s="37"/>
      <c r="I25" s="37"/>
      <c r="J25" s="37" t="str">
        <f aca="false">IF(A25="","",MONTH(A25))</f>
        <v/>
      </c>
      <c r="K25" s="37" t="str">
        <f aca="false">IF(A25="","",YEAR(A25))</f>
        <v/>
      </c>
      <c r="L25" s="37"/>
    </row>
    <row r="26" customFormat="false" ht="21.75" hidden="false" customHeight="true" outlineLevel="0" collapsed="false">
      <c r="A26" s="42"/>
      <c r="B26" s="42"/>
      <c r="C26" s="42"/>
      <c r="D26" s="42"/>
      <c r="E26" s="42"/>
      <c r="F26" s="45" t="str">
        <f aca="false">IF(E26="","",ROUND(E26*0.2,2))</f>
        <v/>
      </c>
      <c r="G26" s="45" t="str">
        <f aca="false">IF(E26="","",E26+F26)</f>
        <v/>
      </c>
      <c r="H26" s="42"/>
      <c r="I26" s="42"/>
      <c r="J26" s="42" t="str">
        <f aca="false">IF(A26="","",MONTH(A26))</f>
        <v/>
      </c>
      <c r="K26" s="42" t="str">
        <f aca="false">IF(A26="","",YEAR(A26))</f>
        <v/>
      </c>
      <c r="L26" s="42"/>
    </row>
    <row r="27" customFormat="false" ht="21.75" hidden="false" customHeight="true" outlineLevel="0" collapsed="false">
      <c r="A27" s="37"/>
      <c r="B27" s="37"/>
      <c r="C27" s="37"/>
      <c r="D27" s="37"/>
      <c r="E27" s="37"/>
      <c r="F27" s="40" t="str">
        <f aca="false">IF(E27="","",ROUND(E27*0.2,2))</f>
        <v/>
      </c>
      <c r="G27" s="40" t="str">
        <f aca="false">IF(E27="","",E27+F27)</f>
        <v/>
      </c>
      <c r="H27" s="37"/>
      <c r="I27" s="37"/>
      <c r="J27" s="37" t="str">
        <f aca="false">IF(A27="","",MONTH(A27))</f>
        <v/>
      </c>
      <c r="K27" s="37" t="str">
        <f aca="false">IF(A27="","",YEAR(A27))</f>
        <v/>
      </c>
      <c r="L27" s="37"/>
    </row>
    <row r="28" customFormat="false" ht="21.75" hidden="false" customHeight="true" outlineLevel="0" collapsed="false">
      <c r="A28" s="42"/>
      <c r="B28" s="42"/>
      <c r="C28" s="42"/>
      <c r="D28" s="42"/>
      <c r="E28" s="42"/>
      <c r="F28" s="45" t="str">
        <f aca="false">IF(E28="","",ROUND(E28*0.2,2))</f>
        <v/>
      </c>
      <c r="G28" s="45" t="str">
        <f aca="false">IF(E28="","",E28+F28)</f>
        <v/>
      </c>
      <c r="H28" s="42"/>
      <c r="I28" s="42"/>
      <c r="J28" s="42" t="str">
        <f aca="false">IF(A28="","",MONTH(A28))</f>
        <v/>
      </c>
      <c r="K28" s="42" t="str">
        <f aca="false">IF(A28="","",YEAR(A28))</f>
        <v/>
      </c>
      <c r="L28" s="42"/>
    </row>
    <row r="29" customFormat="false" ht="21.75" hidden="false" customHeight="true" outlineLevel="0" collapsed="false">
      <c r="A29" s="37"/>
      <c r="B29" s="37"/>
      <c r="C29" s="37"/>
      <c r="D29" s="37"/>
      <c r="E29" s="37"/>
      <c r="F29" s="40" t="str">
        <f aca="false">IF(E29="","",ROUND(E29*0.2,2))</f>
        <v/>
      </c>
      <c r="G29" s="40" t="str">
        <f aca="false">IF(E29="","",E29+F29)</f>
        <v/>
      </c>
      <c r="H29" s="37"/>
      <c r="I29" s="37"/>
      <c r="J29" s="37" t="str">
        <f aca="false">IF(A29="","",MONTH(A29))</f>
        <v/>
      </c>
      <c r="K29" s="37" t="str">
        <f aca="false">IF(A29="","",YEAR(A29))</f>
        <v/>
      </c>
      <c r="L29" s="37"/>
    </row>
    <row r="30" customFormat="false" ht="21.75" hidden="false" customHeight="true" outlineLevel="0" collapsed="false">
      <c r="A30" s="42"/>
      <c r="B30" s="42"/>
      <c r="C30" s="42"/>
      <c r="D30" s="42"/>
      <c r="E30" s="42"/>
      <c r="F30" s="45" t="str">
        <f aca="false">IF(E30="","",ROUND(E30*0.2,2))</f>
        <v/>
      </c>
      <c r="G30" s="45" t="str">
        <f aca="false">IF(E30="","",E30+F30)</f>
        <v/>
      </c>
      <c r="H30" s="42"/>
      <c r="I30" s="42"/>
      <c r="J30" s="42" t="str">
        <f aca="false">IF(A30="","",MONTH(A30))</f>
        <v/>
      </c>
      <c r="K30" s="42" t="str">
        <f aca="false">IF(A30="","",YEAR(A30))</f>
        <v/>
      </c>
      <c r="L30" s="42"/>
    </row>
    <row r="31" customFormat="false" ht="21.75" hidden="false" customHeight="true" outlineLevel="0" collapsed="false">
      <c r="A31" s="37"/>
      <c r="B31" s="37"/>
      <c r="C31" s="37"/>
      <c r="D31" s="37"/>
      <c r="E31" s="37"/>
      <c r="F31" s="40" t="str">
        <f aca="false">IF(E31="","",ROUND(E31*0.2,2))</f>
        <v/>
      </c>
      <c r="G31" s="40" t="str">
        <f aca="false">IF(E31="","",E31+F31)</f>
        <v/>
      </c>
      <c r="H31" s="37"/>
      <c r="I31" s="37"/>
      <c r="J31" s="37" t="str">
        <f aca="false">IF(A31="","",MONTH(A31))</f>
        <v/>
      </c>
      <c r="K31" s="37" t="str">
        <f aca="false">IF(A31="","",YEAR(A31))</f>
        <v/>
      </c>
      <c r="L31" s="37"/>
    </row>
    <row r="32" customFormat="false" ht="21.75" hidden="false" customHeight="true" outlineLevel="0" collapsed="false">
      <c r="A32" s="42"/>
      <c r="B32" s="42"/>
      <c r="C32" s="42"/>
      <c r="D32" s="42"/>
      <c r="E32" s="42"/>
      <c r="F32" s="45" t="str">
        <f aca="false">IF(E32="","",ROUND(E32*0.2,2))</f>
        <v/>
      </c>
      <c r="G32" s="45" t="str">
        <f aca="false">IF(E32="","",E32+F32)</f>
        <v/>
      </c>
      <c r="H32" s="42"/>
      <c r="I32" s="42"/>
      <c r="J32" s="42" t="str">
        <f aca="false">IF(A32="","",MONTH(A32))</f>
        <v/>
      </c>
      <c r="K32" s="42" t="str">
        <f aca="false">IF(A32="","",YEAR(A32))</f>
        <v/>
      </c>
      <c r="L32" s="42"/>
    </row>
    <row r="33" customFormat="false" ht="21.75" hidden="false" customHeight="true" outlineLevel="0" collapsed="false">
      <c r="A33" s="37"/>
      <c r="B33" s="37"/>
      <c r="C33" s="37"/>
      <c r="D33" s="37"/>
      <c r="E33" s="37"/>
      <c r="F33" s="40" t="str">
        <f aca="false">IF(E33="","",ROUND(E33*0.2,2))</f>
        <v/>
      </c>
      <c r="G33" s="40" t="str">
        <f aca="false">IF(E33="","",E33+F33)</f>
        <v/>
      </c>
      <c r="H33" s="37"/>
      <c r="I33" s="37"/>
      <c r="J33" s="37" t="str">
        <f aca="false">IF(A33="","",MONTH(A33))</f>
        <v/>
      </c>
      <c r="K33" s="37" t="str">
        <f aca="false">IF(A33="","",YEAR(A33))</f>
        <v/>
      </c>
      <c r="L33" s="37"/>
    </row>
    <row r="34" customFormat="false" ht="21.75" hidden="false" customHeight="true" outlineLevel="0" collapsed="false">
      <c r="A34" s="42"/>
      <c r="B34" s="42"/>
      <c r="C34" s="42"/>
      <c r="D34" s="42"/>
      <c r="E34" s="42"/>
      <c r="F34" s="45" t="str">
        <f aca="false">IF(E34="","",ROUND(E34*0.2,2))</f>
        <v/>
      </c>
      <c r="G34" s="45" t="str">
        <f aca="false">IF(E34="","",E34+F34)</f>
        <v/>
      </c>
      <c r="H34" s="42"/>
      <c r="I34" s="42"/>
      <c r="J34" s="42" t="str">
        <f aca="false">IF(A34="","",MONTH(A34))</f>
        <v/>
      </c>
      <c r="K34" s="42" t="str">
        <f aca="false">IF(A34="","",YEAR(A34))</f>
        <v/>
      </c>
      <c r="L34" s="42"/>
    </row>
    <row r="35" customFormat="false" ht="21.75" hidden="false" customHeight="true" outlineLevel="0" collapsed="false">
      <c r="A35" s="37"/>
      <c r="B35" s="37"/>
      <c r="C35" s="37"/>
      <c r="D35" s="37"/>
      <c r="E35" s="37"/>
      <c r="F35" s="40" t="str">
        <f aca="false">IF(E35="","",ROUND(E35*0.2,2))</f>
        <v/>
      </c>
      <c r="G35" s="40" t="str">
        <f aca="false">IF(E35="","",E35+F35)</f>
        <v/>
      </c>
      <c r="H35" s="37"/>
      <c r="I35" s="37"/>
      <c r="J35" s="37" t="str">
        <f aca="false">IF(A35="","",MONTH(A35))</f>
        <v/>
      </c>
      <c r="K35" s="37" t="str">
        <f aca="false">IF(A35="","",YEAR(A35))</f>
        <v/>
      </c>
      <c r="L35" s="37"/>
    </row>
    <row r="36" customFormat="false" ht="21.75" hidden="false" customHeight="true" outlineLevel="0" collapsed="false">
      <c r="A36" s="42"/>
      <c r="B36" s="42"/>
      <c r="C36" s="42"/>
      <c r="D36" s="42"/>
      <c r="E36" s="42"/>
      <c r="F36" s="45" t="str">
        <f aca="false">IF(E36="","",ROUND(E36*0.2,2))</f>
        <v/>
      </c>
      <c r="G36" s="45" t="str">
        <f aca="false">IF(E36="","",E36+F36)</f>
        <v/>
      </c>
      <c r="H36" s="42"/>
      <c r="I36" s="42"/>
      <c r="J36" s="42" t="str">
        <f aca="false">IF(A36="","",MONTH(A36))</f>
        <v/>
      </c>
      <c r="K36" s="42" t="str">
        <f aca="false">IF(A36="","",YEAR(A36))</f>
        <v/>
      </c>
      <c r="L36" s="42"/>
    </row>
    <row r="37" customFormat="false" ht="21.75" hidden="false" customHeight="true" outlineLevel="0" collapsed="false">
      <c r="A37" s="37"/>
      <c r="B37" s="37"/>
      <c r="C37" s="37"/>
      <c r="D37" s="37"/>
      <c r="E37" s="37"/>
      <c r="F37" s="40" t="str">
        <f aca="false">IF(E37="","",ROUND(E37*0.2,2))</f>
        <v/>
      </c>
      <c r="G37" s="40" t="str">
        <f aca="false">IF(E37="","",E37+F37)</f>
        <v/>
      </c>
      <c r="H37" s="37"/>
      <c r="I37" s="37"/>
      <c r="J37" s="37" t="str">
        <f aca="false">IF(A37="","",MONTH(A37))</f>
        <v/>
      </c>
      <c r="K37" s="37" t="str">
        <f aca="false">IF(A37="","",YEAR(A37))</f>
        <v/>
      </c>
      <c r="L37" s="37"/>
    </row>
    <row r="38" customFormat="false" ht="21.75" hidden="false" customHeight="true" outlineLevel="0" collapsed="false">
      <c r="A38" s="42"/>
      <c r="B38" s="42"/>
      <c r="C38" s="42"/>
      <c r="D38" s="42"/>
      <c r="E38" s="42"/>
      <c r="F38" s="45" t="str">
        <f aca="false">IF(E38="","",ROUND(E38*0.2,2))</f>
        <v/>
      </c>
      <c r="G38" s="45" t="str">
        <f aca="false">IF(E38="","",E38+F38)</f>
        <v/>
      </c>
      <c r="H38" s="42"/>
      <c r="I38" s="42"/>
      <c r="J38" s="42" t="str">
        <f aca="false">IF(A38="","",MONTH(A38))</f>
        <v/>
      </c>
      <c r="K38" s="42" t="str">
        <f aca="false">IF(A38="","",YEAR(A38))</f>
        <v/>
      </c>
      <c r="L38" s="42"/>
    </row>
    <row r="39" customFormat="false" ht="21.75" hidden="false" customHeight="true" outlineLevel="0" collapsed="false">
      <c r="A39" s="37"/>
      <c r="B39" s="37"/>
      <c r="C39" s="37"/>
      <c r="D39" s="37"/>
      <c r="E39" s="37"/>
      <c r="F39" s="40" t="str">
        <f aca="false">IF(E39="","",ROUND(E39*0.2,2))</f>
        <v/>
      </c>
      <c r="G39" s="40" t="str">
        <f aca="false">IF(E39="","",E39+F39)</f>
        <v/>
      </c>
      <c r="H39" s="37"/>
      <c r="I39" s="37"/>
      <c r="J39" s="37" t="str">
        <f aca="false">IF(A39="","",MONTH(A39))</f>
        <v/>
      </c>
      <c r="K39" s="37" t="str">
        <f aca="false">IF(A39="","",YEAR(A39))</f>
        <v/>
      </c>
      <c r="L39" s="37"/>
    </row>
    <row r="40" customFormat="false" ht="21.75" hidden="false" customHeight="true" outlineLevel="0" collapsed="false">
      <c r="A40" s="42"/>
      <c r="B40" s="42"/>
      <c r="C40" s="42"/>
      <c r="D40" s="42"/>
      <c r="E40" s="42"/>
      <c r="F40" s="45" t="str">
        <f aca="false">IF(E40="","",ROUND(E40*0.2,2))</f>
        <v/>
      </c>
      <c r="G40" s="45" t="str">
        <f aca="false">IF(E40="","",E40+F40)</f>
        <v/>
      </c>
      <c r="H40" s="42"/>
      <c r="I40" s="42"/>
      <c r="J40" s="42" t="str">
        <f aca="false">IF(A40="","",MONTH(A40))</f>
        <v/>
      </c>
      <c r="K40" s="42" t="str">
        <f aca="false">IF(A40="","",YEAR(A40))</f>
        <v/>
      </c>
      <c r="L40" s="42"/>
    </row>
    <row r="41" customFormat="false" ht="21.75" hidden="false" customHeight="true" outlineLevel="0" collapsed="false">
      <c r="A41" s="37"/>
      <c r="B41" s="37"/>
      <c r="C41" s="37"/>
      <c r="D41" s="37"/>
      <c r="E41" s="37"/>
      <c r="F41" s="40" t="str">
        <f aca="false">IF(E41="","",ROUND(E41*0.2,2))</f>
        <v/>
      </c>
      <c r="G41" s="40" t="str">
        <f aca="false">IF(E41="","",E41+F41)</f>
        <v/>
      </c>
      <c r="H41" s="37"/>
      <c r="I41" s="37"/>
      <c r="J41" s="37" t="str">
        <f aca="false">IF(A41="","",MONTH(A41))</f>
        <v/>
      </c>
      <c r="K41" s="37" t="str">
        <f aca="false">IF(A41="","",YEAR(A41))</f>
        <v/>
      </c>
      <c r="L41" s="37"/>
    </row>
    <row r="42" customFormat="false" ht="21.75" hidden="false" customHeight="true" outlineLevel="0" collapsed="false">
      <c r="A42" s="42"/>
      <c r="B42" s="42"/>
      <c r="C42" s="42"/>
      <c r="D42" s="42"/>
      <c r="E42" s="42"/>
      <c r="F42" s="45" t="str">
        <f aca="false">IF(E42="","",ROUND(E42*0.2,2))</f>
        <v/>
      </c>
      <c r="G42" s="45" t="str">
        <f aca="false">IF(E42="","",E42+F42)</f>
        <v/>
      </c>
      <c r="H42" s="42"/>
      <c r="I42" s="42"/>
      <c r="J42" s="42" t="str">
        <f aca="false">IF(A42="","",MONTH(A42))</f>
        <v/>
      </c>
      <c r="K42" s="42" t="str">
        <f aca="false">IF(A42="","",YEAR(A42))</f>
        <v/>
      </c>
      <c r="L42" s="42"/>
    </row>
    <row r="43" customFormat="false" ht="21.75" hidden="false" customHeight="true" outlineLevel="0" collapsed="false">
      <c r="A43" s="37"/>
      <c r="B43" s="37"/>
      <c r="C43" s="37"/>
      <c r="D43" s="37"/>
      <c r="E43" s="37"/>
      <c r="F43" s="40" t="str">
        <f aca="false">IF(E43="","",ROUND(E43*0.2,2))</f>
        <v/>
      </c>
      <c r="G43" s="40" t="str">
        <f aca="false">IF(E43="","",E43+F43)</f>
        <v/>
      </c>
      <c r="H43" s="37"/>
      <c r="I43" s="37"/>
      <c r="J43" s="37" t="str">
        <f aca="false">IF(A43="","",MONTH(A43))</f>
        <v/>
      </c>
      <c r="K43" s="37" t="str">
        <f aca="false">IF(A43="","",YEAR(A43))</f>
        <v/>
      </c>
      <c r="L43" s="37"/>
    </row>
    <row r="44" customFormat="false" ht="21.75" hidden="false" customHeight="true" outlineLevel="0" collapsed="false">
      <c r="A44" s="42"/>
      <c r="B44" s="42"/>
      <c r="C44" s="42"/>
      <c r="D44" s="42"/>
      <c r="E44" s="42"/>
      <c r="F44" s="45" t="str">
        <f aca="false">IF(E44="","",ROUND(E44*0.2,2))</f>
        <v/>
      </c>
      <c r="G44" s="45" t="str">
        <f aca="false">IF(E44="","",E44+F44)</f>
        <v/>
      </c>
      <c r="H44" s="42"/>
      <c r="I44" s="42"/>
      <c r="J44" s="42" t="str">
        <f aca="false">IF(A44="","",MONTH(A44))</f>
        <v/>
      </c>
      <c r="K44" s="42" t="str">
        <f aca="false">IF(A44="","",YEAR(A44))</f>
        <v/>
      </c>
      <c r="L44" s="42"/>
    </row>
    <row r="45" customFormat="false" ht="21.75" hidden="false" customHeight="true" outlineLevel="0" collapsed="false">
      <c r="A45" s="37"/>
      <c r="B45" s="37"/>
      <c r="C45" s="37"/>
      <c r="D45" s="37"/>
      <c r="E45" s="37"/>
      <c r="F45" s="40" t="str">
        <f aca="false">IF(E45="","",ROUND(E45*0.2,2))</f>
        <v/>
      </c>
      <c r="G45" s="40" t="str">
        <f aca="false">IF(E45="","",E45+F45)</f>
        <v/>
      </c>
      <c r="H45" s="37"/>
      <c r="I45" s="37"/>
      <c r="J45" s="37" t="str">
        <f aca="false">IF(A45="","",MONTH(A45))</f>
        <v/>
      </c>
      <c r="K45" s="37" t="str">
        <f aca="false">IF(A45="","",YEAR(A45))</f>
        <v/>
      </c>
      <c r="L45" s="37"/>
    </row>
    <row r="46" customFormat="false" ht="21.75" hidden="false" customHeight="true" outlineLevel="0" collapsed="false">
      <c r="A46" s="42"/>
      <c r="B46" s="42"/>
      <c r="C46" s="42"/>
      <c r="D46" s="42"/>
      <c r="E46" s="42"/>
      <c r="F46" s="45" t="str">
        <f aca="false">IF(E46="","",ROUND(E46*0.2,2))</f>
        <v/>
      </c>
      <c r="G46" s="45" t="str">
        <f aca="false">IF(E46="","",E46+F46)</f>
        <v/>
      </c>
      <c r="H46" s="42"/>
      <c r="I46" s="42"/>
      <c r="J46" s="42" t="str">
        <f aca="false">IF(A46="","",MONTH(A46))</f>
        <v/>
      </c>
      <c r="K46" s="42" t="str">
        <f aca="false">IF(A46="","",YEAR(A46))</f>
        <v/>
      </c>
      <c r="L46" s="42"/>
    </row>
    <row r="47" customFormat="false" ht="21.75" hidden="false" customHeight="true" outlineLevel="0" collapsed="false">
      <c r="A47" s="37"/>
      <c r="B47" s="37"/>
      <c r="C47" s="37"/>
      <c r="D47" s="37"/>
      <c r="E47" s="37"/>
      <c r="F47" s="40" t="str">
        <f aca="false">IF(E47="","",ROUND(E47*0.2,2))</f>
        <v/>
      </c>
      <c r="G47" s="40" t="str">
        <f aca="false">IF(E47="","",E47+F47)</f>
        <v/>
      </c>
      <c r="H47" s="37"/>
      <c r="I47" s="37"/>
      <c r="J47" s="37" t="str">
        <f aca="false">IF(A47="","",MONTH(A47))</f>
        <v/>
      </c>
      <c r="K47" s="37" t="str">
        <f aca="false">IF(A47="","",YEAR(A47))</f>
        <v/>
      </c>
      <c r="L47" s="37"/>
    </row>
    <row r="48" customFormat="false" ht="21.75" hidden="false" customHeight="true" outlineLevel="0" collapsed="false">
      <c r="A48" s="42"/>
      <c r="B48" s="42"/>
      <c r="C48" s="42"/>
      <c r="D48" s="42"/>
      <c r="E48" s="42"/>
      <c r="F48" s="45" t="str">
        <f aca="false">IF(E48="","",ROUND(E48*0.2,2))</f>
        <v/>
      </c>
      <c r="G48" s="45" t="str">
        <f aca="false">IF(E48="","",E48+F48)</f>
        <v/>
      </c>
      <c r="H48" s="42"/>
      <c r="I48" s="42"/>
      <c r="J48" s="42" t="str">
        <f aca="false">IF(A48="","",MONTH(A48))</f>
        <v/>
      </c>
      <c r="K48" s="42" t="str">
        <f aca="false">IF(A48="","",YEAR(A48))</f>
        <v/>
      </c>
      <c r="L48" s="42"/>
    </row>
    <row r="49" customFormat="false" ht="21.75" hidden="false" customHeight="true" outlineLevel="0" collapsed="false">
      <c r="A49" s="37"/>
      <c r="B49" s="37"/>
      <c r="C49" s="37"/>
      <c r="D49" s="37"/>
      <c r="E49" s="37"/>
      <c r="F49" s="40" t="str">
        <f aca="false">IF(E49="","",ROUND(E49*0.2,2))</f>
        <v/>
      </c>
      <c r="G49" s="40" t="str">
        <f aca="false">IF(E49="","",E49+F49)</f>
        <v/>
      </c>
      <c r="H49" s="37"/>
      <c r="I49" s="37"/>
      <c r="J49" s="37" t="str">
        <f aca="false">IF(A49="","",MONTH(A49))</f>
        <v/>
      </c>
      <c r="K49" s="37" t="str">
        <f aca="false">IF(A49="","",YEAR(A49))</f>
        <v/>
      </c>
      <c r="L49" s="37"/>
    </row>
    <row r="50" customFormat="false" ht="21.75" hidden="false" customHeight="true" outlineLevel="0" collapsed="false">
      <c r="A50" s="42"/>
      <c r="B50" s="42"/>
      <c r="C50" s="42"/>
      <c r="D50" s="42"/>
      <c r="E50" s="42"/>
      <c r="F50" s="45" t="str">
        <f aca="false">IF(E50="","",ROUND(E50*0.2,2))</f>
        <v/>
      </c>
      <c r="G50" s="45" t="str">
        <f aca="false">IF(E50="","",E50+F50)</f>
        <v/>
      </c>
      <c r="H50" s="42"/>
      <c r="I50" s="42"/>
      <c r="J50" s="42" t="str">
        <f aca="false">IF(A50="","",MONTH(A50))</f>
        <v/>
      </c>
      <c r="K50" s="42" t="str">
        <f aca="false">IF(A50="","",YEAR(A50))</f>
        <v/>
      </c>
      <c r="L50" s="42"/>
    </row>
    <row r="51" customFormat="false" ht="21.75" hidden="false" customHeight="true" outlineLevel="0" collapsed="false">
      <c r="A51" s="37"/>
      <c r="B51" s="37"/>
      <c r="C51" s="37"/>
      <c r="D51" s="37"/>
      <c r="E51" s="37"/>
      <c r="F51" s="40" t="str">
        <f aca="false">IF(E51="","",ROUND(E51*0.2,2))</f>
        <v/>
      </c>
      <c r="G51" s="40" t="str">
        <f aca="false">IF(E51="","",E51+F51)</f>
        <v/>
      </c>
      <c r="H51" s="37"/>
      <c r="I51" s="37"/>
      <c r="J51" s="37" t="str">
        <f aca="false">IF(A51="","",MONTH(A51))</f>
        <v/>
      </c>
      <c r="K51" s="37" t="str">
        <f aca="false">IF(A51="","",YEAR(A51))</f>
        <v/>
      </c>
      <c r="L51" s="37"/>
    </row>
    <row r="52" customFormat="false" ht="21.75" hidden="false" customHeight="true" outlineLevel="0" collapsed="false">
      <c r="A52" s="42"/>
      <c r="B52" s="42"/>
      <c r="C52" s="42"/>
      <c r="D52" s="42"/>
      <c r="E52" s="42"/>
      <c r="F52" s="45" t="str">
        <f aca="false">IF(E52="","",ROUND(E52*0.2,2))</f>
        <v/>
      </c>
      <c r="G52" s="45" t="str">
        <f aca="false">IF(E52="","",E52+F52)</f>
        <v/>
      </c>
      <c r="H52" s="42"/>
      <c r="I52" s="42"/>
      <c r="J52" s="42" t="str">
        <f aca="false">IF(A52="","",MONTH(A52))</f>
        <v/>
      </c>
      <c r="K52" s="42" t="str">
        <f aca="false">IF(A52="","",YEAR(A52))</f>
        <v/>
      </c>
      <c r="L52" s="42"/>
    </row>
    <row r="53" customFormat="false" ht="21.75" hidden="false" customHeight="true" outlineLevel="0" collapsed="false">
      <c r="A53" s="37"/>
      <c r="B53" s="37"/>
      <c r="C53" s="37"/>
      <c r="D53" s="37"/>
      <c r="E53" s="37"/>
      <c r="F53" s="40" t="str">
        <f aca="false">IF(E53="","",ROUND(E53*0.2,2))</f>
        <v/>
      </c>
      <c r="G53" s="40" t="str">
        <f aca="false">IF(E53="","",E53+F53)</f>
        <v/>
      </c>
      <c r="H53" s="37"/>
      <c r="I53" s="37"/>
      <c r="J53" s="37" t="str">
        <f aca="false">IF(A53="","",MONTH(A53))</f>
        <v/>
      </c>
      <c r="K53" s="37" t="str">
        <f aca="false">IF(A53="","",YEAR(A53))</f>
        <v/>
      </c>
      <c r="L53" s="37"/>
    </row>
    <row r="54" customFormat="false" ht="21.75" hidden="false" customHeight="true" outlineLevel="0" collapsed="false">
      <c r="A54" s="42"/>
      <c r="B54" s="42"/>
      <c r="C54" s="42"/>
      <c r="D54" s="42"/>
      <c r="E54" s="42"/>
      <c r="F54" s="45" t="str">
        <f aca="false">IF(E54="","",ROUND(E54*0.2,2))</f>
        <v/>
      </c>
      <c r="G54" s="45" t="str">
        <f aca="false">IF(E54="","",E54+F54)</f>
        <v/>
      </c>
      <c r="H54" s="42"/>
      <c r="I54" s="42"/>
      <c r="J54" s="42" t="str">
        <f aca="false">IF(A54="","",MONTH(A54))</f>
        <v/>
      </c>
      <c r="K54" s="42" t="str">
        <f aca="false">IF(A54="","",YEAR(A54))</f>
        <v/>
      </c>
      <c r="L54" s="42"/>
    </row>
    <row r="55" customFormat="false" ht="21.75" hidden="false" customHeight="true" outlineLevel="0" collapsed="false">
      <c r="A55" s="37"/>
      <c r="B55" s="37"/>
      <c r="C55" s="37"/>
      <c r="D55" s="37"/>
      <c r="E55" s="37"/>
      <c r="F55" s="40" t="str">
        <f aca="false">IF(E55="","",ROUND(E55*0.2,2))</f>
        <v/>
      </c>
      <c r="G55" s="40" t="str">
        <f aca="false">IF(E55="","",E55+F55)</f>
        <v/>
      </c>
      <c r="H55" s="37"/>
      <c r="I55" s="37"/>
      <c r="J55" s="37" t="str">
        <f aca="false">IF(A55="","",MONTH(A55))</f>
        <v/>
      </c>
      <c r="K55" s="37" t="str">
        <f aca="false">IF(A55="","",YEAR(A55))</f>
        <v/>
      </c>
      <c r="L55" s="37"/>
    </row>
    <row r="56" customFormat="false" ht="21.75" hidden="false" customHeight="true" outlineLevel="0" collapsed="false">
      <c r="A56" s="42"/>
      <c r="B56" s="42"/>
      <c r="C56" s="42"/>
      <c r="D56" s="42"/>
      <c r="E56" s="42"/>
      <c r="F56" s="45" t="str">
        <f aca="false">IF(E56="","",ROUND(E56*0.2,2))</f>
        <v/>
      </c>
      <c r="G56" s="45" t="str">
        <f aca="false">IF(E56="","",E56+F56)</f>
        <v/>
      </c>
      <c r="H56" s="42"/>
      <c r="I56" s="42"/>
      <c r="J56" s="42" t="str">
        <f aca="false">IF(A56="","",MONTH(A56))</f>
        <v/>
      </c>
      <c r="K56" s="42" t="str">
        <f aca="false">IF(A56="","",YEAR(A56))</f>
        <v/>
      </c>
      <c r="L56" s="42"/>
    </row>
    <row r="57" customFormat="false" ht="21.75" hidden="false" customHeight="true" outlineLevel="0" collapsed="false">
      <c r="A57" s="37"/>
      <c r="B57" s="37"/>
      <c r="C57" s="37"/>
      <c r="D57" s="37"/>
      <c r="E57" s="37"/>
      <c r="F57" s="40" t="str">
        <f aca="false">IF(E57="","",ROUND(E57*0.2,2))</f>
        <v/>
      </c>
      <c r="G57" s="40" t="str">
        <f aca="false">IF(E57="","",E57+F57)</f>
        <v/>
      </c>
      <c r="H57" s="37"/>
      <c r="I57" s="37"/>
      <c r="J57" s="37" t="str">
        <f aca="false">IF(A57="","",MONTH(A57))</f>
        <v/>
      </c>
      <c r="K57" s="37" t="str">
        <f aca="false">IF(A57="","",YEAR(A57))</f>
        <v/>
      </c>
      <c r="L57" s="37"/>
    </row>
    <row r="58" customFormat="false" ht="21.75" hidden="false" customHeight="true" outlineLevel="0" collapsed="false">
      <c r="A58" s="42"/>
      <c r="B58" s="42"/>
      <c r="C58" s="42"/>
      <c r="D58" s="42"/>
      <c r="E58" s="42"/>
      <c r="F58" s="45" t="str">
        <f aca="false">IF(E58="","",ROUND(E58*0.2,2))</f>
        <v/>
      </c>
      <c r="G58" s="45" t="str">
        <f aca="false">IF(E58="","",E58+F58)</f>
        <v/>
      </c>
      <c r="H58" s="42"/>
      <c r="I58" s="42"/>
      <c r="J58" s="42" t="str">
        <f aca="false">IF(A58="","",MONTH(A58))</f>
        <v/>
      </c>
      <c r="K58" s="42" t="str">
        <f aca="false">IF(A58="","",YEAR(A58))</f>
        <v/>
      </c>
      <c r="L58" s="42"/>
    </row>
    <row r="59" customFormat="false" ht="21.75" hidden="false" customHeight="true" outlineLevel="0" collapsed="false">
      <c r="A59" s="37"/>
      <c r="B59" s="37"/>
      <c r="C59" s="37"/>
      <c r="D59" s="37"/>
      <c r="E59" s="37"/>
      <c r="F59" s="40" t="str">
        <f aca="false">IF(E59="","",ROUND(E59*0.2,2))</f>
        <v/>
      </c>
      <c r="G59" s="40" t="str">
        <f aca="false">IF(E59="","",E59+F59)</f>
        <v/>
      </c>
      <c r="H59" s="37"/>
      <c r="I59" s="37"/>
      <c r="J59" s="37" t="str">
        <f aca="false">IF(A59="","",MONTH(A59))</f>
        <v/>
      </c>
      <c r="K59" s="37" t="str">
        <f aca="false">IF(A59="","",YEAR(A59))</f>
        <v/>
      </c>
      <c r="L59" s="37"/>
    </row>
    <row r="60" customFormat="false" ht="21.75" hidden="false" customHeight="true" outlineLevel="0" collapsed="false">
      <c r="A60" s="42"/>
      <c r="B60" s="42"/>
      <c r="C60" s="42"/>
      <c r="D60" s="42"/>
      <c r="E60" s="42"/>
      <c r="F60" s="45" t="str">
        <f aca="false">IF(E60="","",ROUND(E60*0.2,2))</f>
        <v/>
      </c>
      <c r="G60" s="45" t="str">
        <f aca="false">IF(E60="","",E60+F60)</f>
        <v/>
      </c>
      <c r="H60" s="42"/>
      <c r="I60" s="42"/>
      <c r="J60" s="42" t="str">
        <f aca="false">IF(A60="","",MONTH(A60))</f>
        <v/>
      </c>
      <c r="K60" s="42" t="str">
        <f aca="false">IF(A60="","",YEAR(A60))</f>
        <v/>
      </c>
      <c r="L60" s="42"/>
    </row>
    <row r="61" customFormat="false" ht="21.75" hidden="false" customHeight="true" outlineLevel="0" collapsed="false">
      <c r="A61" s="37"/>
      <c r="B61" s="37"/>
      <c r="C61" s="37"/>
      <c r="D61" s="37"/>
      <c r="E61" s="37"/>
      <c r="F61" s="40" t="str">
        <f aca="false">IF(E61="","",ROUND(E61*0.2,2))</f>
        <v/>
      </c>
      <c r="G61" s="40" t="str">
        <f aca="false">IF(E61="","",E61+F61)</f>
        <v/>
      </c>
      <c r="H61" s="37"/>
      <c r="I61" s="37"/>
      <c r="J61" s="37" t="str">
        <f aca="false">IF(A61="","",MONTH(A61))</f>
        <v/>
      </c>
      <c r="K61" s="37" t="str">
        <f aca="false">IF(A61="","",YEAR(A61))</f>
        <v/>
      </c>
      <c r="L61" s="37"/>
    </row>
    <row r="62" customFormat="false" ht="21.75" hidden="false" customHeight="true" outlineLevel="0" collapsed="false">
      <c r="A62" s="42"/>
      <c r="B62" s="42"/>
      <c r="C62" s="42"/>
      <c r="D62" s="42"/>
      <c r="E62" s="42"/>
      <c r="F62" s="45" t="str">
        <f aca="false">IF(E62="","",ROUND(E62*0.2,2))</f>
        <v/>
      </c>
      <c r="G62" s="45" t="str">
        <f aca="false">IF(E62="","",E62+F62)</f>
        <v/>
      </c>
      <c r="H62" s="42"/>
      <c r="I62" s="42"/>
      <c r="J62" s="42" t="str">
        <f aca="false">IF(A62="","",MONTH(A62))</f>
        <v/>
      </c>
      <c r="K62" s="42" t="str">
        <f aca="false">IF(A62="","",YEAR(A62))</f>
        <v/>
      </c>
      <c r="L62" s="42"/>
    </row>
    <row r="63" customFormat="false" ht="21.75" hidden="false" customHeight="true" outlineLevel="0" collapsed="false">
      <c r="A63" s="37"/>
      <c r="B63" s="37"/>
      <c r="C63" s="37"/>
      <c r="D63" s="37"/>
      <c r="E63" s="37"/>
      <c r="F63" s="40" t="str">
        <f aca="false">IF(E63="","",ROUND(E63*0.2,2))</f>
        <v/>
      </c>
      <c r="G63" s="40" t="str">
        <f aca="false">IF(E63="","",E63+F63)</f>
        <v/>
      </c>
      <c r="H63" s="37"/>
      <c r="I63" s="37"/>
      <c r="J63" s="37" t="str">
        <f aca="false">IF(A63="","",MONTH(A63))</f>
        <v/>
      </c>
      <c r="K63" s="37" t="str">
        <f aca="false">IF(A63="","",YEAR(A63))</f>
        <v/>
      </c>
      <c r="L63" s="37"/>
    </row>
    <row r="64" customFormat="false" ht="21.75" hidden="false" customHeight="true" outlineLevel="0" collapsed="false">
      <c r="A64" s="42"/>
      <c r="B64" s="42"/>
      <c r="C64" s="42"/>
      <c r="D64" s="42"/>
      <c r="E64" s="42"/>
      <c r="F64" s="45" t="str">
        <f aca="false">IF(E64="","",ROUND(E64*0.2,2))</f>
        <v/>
      </c>
      <c r="G64" s="45" t="str">
        <f aca="false">IF(E64="","",E64+F64)</f>
        <v/>
      </c>
      <c r="H64" s="42"/>
      <c r="I64" s="42"/>
      <c r="J64" s="42" t="str">
        <f aca="false">IF(A64="","",MONTH(A64))</f>
        <v/>
      </c>
      <c r="K64" s="42" t="str">
        <f aca="false">IF(A64="","",YEAR(A64))</f>
        <v/>
      </c>
      <c r="L64" s="42"/>
    </row>
    <row r="65" customFormat="false" ht="21.75" hidden="false" customHeight="true" outlineLevel="0" collapsed="false">
      <c r="A65" s="37"/>
      <c r="B65" s="37"/>
      <c r="C65" s="37"/>
      <c r="D65" s="37"/>
      <c r="E65" s="37"/>
      <c r="F65" s="40" t="str">
        <f aca="false">IF(E65="","",ROUND(E65*0.2,2))</f>
        <v/>
      </c>
      <c r="G65" s="40" t="str">
        <f aca="false">IF(E65="","",E65+F65)</f>
        <v/>
      </c>
      <c r="H65" s="37"/>
      <c r="I65" s="37"/>
      <c r="J65" s="37" t="str">
        <f aca="false">IF(A65="","",MONTH(A65))</f>
        <v/>
      </c>
      <c r="K65" s="37" t="str">
        <f aca="false">IF(A65="","",YEAR(A65))</f>
        <v/>
      </c>
      <c r="L65" s="37"/>
    </row>
    <row r="66" customFormat="false" ht="21.75" hidden="false" customHeight="true" outlineLevel="0" collapsed="false">
      <c r="A66" s="42"/>
      <c r="B66" s="42"/>
      <c r="C66" s="42"/>
      <c r="D66" s="42"/>
      <c r="E66" s="42"/>
      <c r="F66" s="45" t="str">
        <f aca="false">IF(E66="","",ROUND(E66*0.2,2))</f>
        <v/>
      </c>
      <c r="G66" s="45" t="str">
        <f aca="false">IF(E66="","",E66+F66)</f>
        <v/>
      </c>
      <c r="H66" s="42"/>
      <c r="I66" s="42"/>
      <c r="J66" s="42" t="str">
        <f aca="false">IF(A66="","",MONTH(A66))</f>
        <v/>
      </c>
      <c r="K66" s="42" t="str">
        <f aca="false">IF(A66="","",YEAR(A66))</f>
        <v/>
      </c>
      <c r="L66" s="42"/>
    </row>
    <row r="67" customFormat="false" ht="21.75" hidden="false" customHeight="true" outlineLevel="0" collapsed="false">
      <c r="A67" s="37"/>
      <c r="B67" s="37"/>
      <c r="C67" s="37"/>
      <c r="D67" s="37"/>
      <c r="E67" s="37"/>
      <c r="F67" s="40" t="str">
        <f aca="false">IF(E67="","",ROUND(E67*0.2,2))</f>
        <v/>
      </c>
      <c r="G67" s="40" t="str">
        <f aca="false">IF(E67="","",E67+F67)</f>
        <v/>
      </c>
      <c r="H67" s="37"/>
      <c r="I67" s="37"/>
      <c r="J67" s="37" t="str">
        <f aca="false">IF(A67="","",MONTH(A67))</f>
        <v/>
      </c>
      <c r="K67" s="37" t="str">
        <f aca="false">IF(A67="","",YEAR(A67))</f>
        <v/>
      </c>
      <c r="L67" s="37"/>
    </row>
    <row r="68" customFormat="false" ht="21.75" hidden="false" customHeight="true" outlineLevel="0" collapsed="false">
      <c r="A68" s="42"/>
      <c r="B68" s="42"/>
      <c r="C68" s="42"/>
      <c r="D68" s="42"/>
      <c r="E68" s="42"/>
      <c r="F68" s="45" t="str">
        <f aca="false">IF(E68="","",ROUND(E68*0.2,2))</f>
        <v/>
      </c>
      <c r="G68" s="45" t="str">
        <f aca="false">IF(E68="","",E68+F68)</f>
        <v/>
      </c>
      <c r="H68" s="42"/>
      <c r="I68" s="42"/>
      <c r="J68" s="42" t="str">
        <f aca="false">IF(A68="","",MONTH(A68))</f>
        <v/>
      </c>
      <c r="K68" s="42" t="str">
        <f aca="false">IF(A68="","",YEAR(A68))</f>
        <v/>
      </c>
      <c r="L68" s="42"/>
    </row>
    <row r="69" customFormat="false" ht="21.75" hidden="false" customHeight="true" outlineLevel="0" collapsed="false">
      <c r="A69" s="37"/>
      <c r="B69" s="37"/>
      <c r="C69" s="37"/>
      <c r="D69" s="37"/>
      <c r="E69" s="37"/>
      <c r="F69" s="40" t="str">
        <f aca="false">IF(E69="","",ROUND(E69*0.2,2))</f>
        <v/>
      </c>
      <c r="G69" s="40" t="str">
        <f aca="false">IF(E69="","",E69+F69)</f>
        <v/>
      </c>
      <c r="H69" s="37"/>
      <c r="I69" s="37"/>
      <c r="J69" s="37" t="str">
        <f aca="false">IF(A69="","",MONTH(A69))</f>
        <v/>
      </c>
      <c r="K69" s="37" t="str">
        <f aca="false">IF(A69="","",YEAR(A69))</f>
        <v/>
      </c>
      <c r="L69" s="37"/>
    </row>
    <row r="70" customFormat="false" ht="21.75" hidden="false" customHeight="true" outlineLevel="0" collapsed="false">
      <c r="A70" s="42"/>
      <c r="B70" s="42"/>
      <c r="C70" s="42"/>
      <c r="D70" s="42"/>
      <c r="E70" s="42"/>
      <c r="F70" s="45" t="str">
        <f aca="false">IF(E70="","",ROUND(E70*0.2,2))</f>
        <v/>
      </c>
      <c r="G70" s="45" t="str">
        <f aca="false">IF(E70="","",E70+F70)</f>
        <v/>
      </c>
      <c r="H70" s="42"/>
      <c r="I70" s="42"/>
      <c r="J70" s="42" t="str">
        <f aca="false">IF(A70="","",MONTH(A70))</f>
        <v/>
      </c>
      <c r="K70" s="42" t="str">
        <f aca="false">IF(A70="","",YEAR(A70))</f>
        <v/>
      </c>
      <c r="L70" s="42"/>
    </row>
    <row r="71" customFormat="false" ht="21.75" hidden="false" customHeight="true" outlineLevel="0" collapsed="false">
      <c r="A71" s="37"/>
      <c r="B71" s="37"/>
      <c r="C71" s="37"/>
      <c r="D71" s="37"/>
      <c r="E71" s="37"/>
      <c r="F71" s="40" t="str">
        <f aca="false">IF(E71="","",ROUND(E71*0.2,2))</f>
        <v/>
      </c>
      <c r="G71" s="40" t="str">
        <f aca="false">IF(E71="","",E71+F71)</f>
        <v/>
      </c>
      <c r="H71" s="37"/>
      <c r="I71" s="37"/>
      <c r="J71" s="37" t="str">
        <f aca="false">IF(A71="","",MONTH(A71))</f>
        <v/>
      </c>
      <c r="K71" s="37" t="str">
        <f aca="false">IF(A71="","",YEAR(A71))</f>
        <v/>
      </c>
      <c r="L71" s="37"/>
    </row>
    <row r="72" customFormat="false" ht="21.75" hidden="false" customHeight="true" outlineLevel="0" collapsed="false">
      <c r="A72" s="42"/>
      <c r="B72" s="42"/>
      <c r="C72" s="42"/>
      <c r="D72" s="42"/>
      <c r="E72" s="42"/>
      <c r="F72" s="45" t="str">
        <f aca="false">IF(E72="","",ROUND(E72*0.2,2))</f>
        <v/>
      </c>
      <c r="G72" s="45" t="str">
        <f aca="false">IF(E72="","",E72+F72)</f>
        <v/>
      </c>
      <c r="H72" s="42"/>
      <c r="I72" s="42"/>
      <c r="J72" s="42" t="str">
        <f aca="false">IF(A72="","",MONTH(A72))</f>
        <v/>
      </c>
      <c r="K72" s="42" t="str">
        <f aca="false">IF(A72="","",YEAR(A72))</f>
        <v/>
      </c>
      <c r="L72" s="42"/>
    </row>
    <row r="73" customFormat="false" ht="21.75" hidden="false" customHeight="true" outlineLevel="0" collapsed="false">
      <c r="A73" s="37"/>
      <c r="B73" s="37"/>
      <c r="C73" s="37"/>
      <c r="D73" s="37"/>
      <c r="E73" s="37"/>
      <c r="F73" s="40" t="str">
        <f aca="false">IF(E73="","",ROUND(E73*0.2,2))</f>
        <v/>
      </c>
      <c r="G73" s="40" t="str">
        <f aca="false">IF(E73="","",E73+F73)</f>
        <v/>
      </c>
      <c r="H73" s="37"/>
      <c r="I73" s="37"/>
      <c r="J73" s="37" t="str">
        <f aca="false">IF(A73="","",MONTH(A73))</f>
        <v/>
      </c>
      <c r="K73" s="37" t="str">
        <f aca="false">IF(A73="","",YEAR(A73))</f>
        <v/>
      </c>
      <c r="L73" s="37"/>
    </row>
    <row r="74" customFormat="false" ht="21.75" hidden="false" customHeight="true" outlineLevel="0" collapsed="false">
      <c r="A74" s="42"/>
      <c r="B74" s="42"/>
      <c r="C74" s="42"/>
      <c r="D74" s="42"/>
      <c r="E74" s="42"/>
      <c r="F74" s="45" t="str">
        <f aca="false">IF(E74="","",ROUND(E74*0.2,2))</f>
        <v/>
      </c>
      <c r="G74" s="45" t="str">
        <f aca="false">IF(E74="","",E74+F74)</f>
        <v/>
      </c>
      <c r="H74" s="42"/>
      <c r="I74" s="42"/>
      <c r="J74" s="42" t="str">
        <f aca="false">IF(A74="","",MONTH(A74))</f>
        <v/>
      </c>
      <c r="K74" s="42" t="str">
        <f aca="false">IF(A74="","",YEAR(A74))</f>
        <v/>
      </c>
      <c r="L74" s="42"/>
    </row>
    <row r="75" customFormat="false" ht="21.75" hidden="false" customHeight="true" outlineLevel="0" collapsed="false">
      <c r="A75" s="37"/>
      <c r="B75" s="37"/>
      <c r="C75" s="37"/>
      <c r="D75" s="37"/>
      <c r="E75" s="37"/>
      <c r="F75" s="40" t="str">
        <f aca="false">IF(E75="","",ROUND(E75*0.2,2))</f>
        <v/>
      </c>
      <c r="G75" s="40" t="str">
        <f aca="false">IF(E75="","",E75+F75)</f>
        <v/>
      </c>
      <c r="H75" s="37"/>
      <c r="I75" s="37"/>
      <c r="J75" s="37" t="str">
        <f aca="false">IF(A75="","",MONTH(A75))</f>
        <v/>
      </c>
      <c r="K75" s="37" t="str">
        <f aca="false">IF(A75="","",YEAR(A75))</f>
        <v/>
      </c>
      <c r="L75" s="37"/>
    </row>
    <row r="76" customFormat="false" ht="21.75" hidden="false" customHeight="true" outlineLevel="0" collapsed="false">
      <c r="A76" s="42"/>
      <c r="B76" s="42"/>
      <c r="C76" s="42"/>
      <c r="D76" s="42"/>
      <c r="E76" s="42"/>
      <c r="F76" s="45" t="str">
        <f aca="false">IF(E76="","",ROUND(E76*0.2,2))</f>
        <v/>
      </c>
      <c r="G76" s="45" t="str">
        <f aca="false">IF(E76="","",E76+F76)</f>
        <v/>
      </c>
      <c r="H76" s="42"/>
      <c r="I76" s="42"/>
      <c r="J76" s="42" t="str">
        <f aca="false">IF(A76="","",MONTH(A76))</f>
        <v/>
      </c>
      <c r="K76" s="42" t="str">
        <f aca="false">IF(A76="","",YEAR(A76))</f>
        <v/>
      </c>
      <c r="L76" s="42"/>
    </row>
    <row r="77" customFormat="false" ht="21.75" hidden="false" customHeight="true" outlineLevel="0" collapsed="false">
      <c r="A77" s="37"/>
      <c r="B77" s="37"/>
      <c r="C77" s="37"/>
      <c r="D77" s="37"/>
      <c r="E77" s="37"/>
      <c r="F77" s="40" t="str">
        <f aca="false">IF(E77="","",ROUND(E77*0.2,2))</f>
        <v/>
      </c>
      <c r="G77" s="40" t="str">
        <f aca="false">IF(E77="","",E77+F77)</f>
        <v/>
      </c>
      <c r="H77" s="37"/>
      <c r="I77" s="37"/>
      <c r="J77" s="37" t="str">
        <f aca="false">IF(A77="","",MONTH(A77))</f>
        <v/>
      </c>
      <c r="K77" s="37" t="str">
        <f aca="false">IF(A77="","",YEAR(A77))</f>
        <v/>
      </c>
      <c r="L77" s="37"/>
    </row>
    <row r="78" customFormat="false" ht="21.75" hidden="false" customHeight="true" outlineLevel="0" collapsed="false">
      <c r="A78" s="42"/>
      <c r="B78" s="42"/>
      <c r="C78" s="42"/>
      <c r="D78" s="42"/>
      <c r="E78" s="42"/>
      <c r="F78" s="45" t="str">
        <f aca="false">IF(E78="","",ROUND(E78*0.2,2))</f>
        <v/>
      </c>
      <c r="G78" s="45" t="str">
        <f aca="false">IF(E78="","",E78+F78)</f>
        <v/>
      </c>
      <c r="H78" s="42"/>
      <c r="I78" s="42"/>
      <c r="J78" s="42" t="str">
        <f aca="false">IF(A78="","",MONTH(A78))</f>
        <v/>
      </c>
      <c r="K78" s="42" t="str">
        <f aca="false">IF(A78="","",YEAR(A78))</f>
        <v/>
      </c>
      <c r="L78" s="42"/>
    </row>
    <row r="79" customFormat="false" ht="21.75" hidden="false" customHeight="true" outlineLevel="0" collapsed="false">
      <c r="A79" s="37"/>
      <c r="B79" s="37"/>
      <c r="C79" s="37"/>
      <c r="D79" s="37"/>
      <c r="E79" s="37"/>
      <c r="F79" s="40" t="str">
        <f aca="false">IF(E79="","",ROUND(E79*0.2,2))</f>
        <v/>
      </c>
      <c r="G79" s="40" t="str">
        <f aca="false">IF(E79="","",E79+F79)</f>
        <v/>
      </c>
      <c r="H79" s="37"/>
      <c r="I79" s="37"/>
      <c r="J79" s="37" t="str">
        <f aca="false">IF(A79="","",MONTH(A79))</f>
        <v/>
      </c>
      <c r="K79" s="37" t="str">
        <f aca="false">IF(A79="","",YEAR(A79))</f>
        <v/>
      </c>
      <c r="L79" s="37"/>
    </row>
    <row r="80" customFormat="false" ht="21.75" hidden="false" customHeight="true" outlineLevel="0" collapsed="false">
      <c r="A80" s="42"/>
      <c r="B80" s="42"/>
      <c r="C80" s="42"/>
      <c r="D80" s="42"/>
      <c r="E80" s="42"/>
      <c r="F80" s="45" t="str">
        <f aca="false">IF(E80="","",ROUND(E80*0.2,2))</f>
        <v/>
      </c>
      <c r="G80" s="45" t="str">
        <f aca="false">IF(E80="","",E80+F80)</f>
        <v/>
      </c>
      <c r="H80" s="42"/>
      <c r="I80" s="42"/>
      <c r="J80" s="42" t="str">
        <f aca="false">IF(A80="","",MONTH(A80))</f>
        <v/>
      </c>
      <c r="K80" s="42" t="str">
        <f aca="false">IF(A80="","",YEAR(A80))</f>
        <v/>
      </c>
      <c r="L80" s="42"/>
    </row>
    <row r="81" customFormat="false" ht="21.75" hidden="false" customHeight="true" outlineLevel="0" collapsed="false">
      <c r="A81" s="37"/>
      <c r="B81" s="37"/>
      <c r="C81" s="37"/>
      <c r="D81" s="37"/>
      <c r="E81" s="37"/>
      <c r="F81" s="40" t="str">
        <f aca="false">IF(E81="","",ROUND(E81*0.2,2))</f>
        <v/>
      </c>
      <c r="G81" s="40" t="str">
        <f aca="false">IF(E81="","",E81+F81)</f>
        <v/>
      </c>
      <c r="H81" s="37"/>
      <c r="I81" s="37"/>
      <c r="J81" s="37" t="str">
        <f aca="false">IF(A81="","",MONTH(A81))</f>
        <v/>
      </c>
      <c r="K81" s="37" t="str">
        <f aca="false">IF(A81="","",YEAR(A81))</f>
        <v/>
      </c>
      <c r="L81" s="37"/>
    </row>
    <row r="82" customFormat="false" ht="21.75" hidden="false" customHeight="true" outlineLevel="0" collapsed="false">
      <c r="A82" s="42"/>
      <c r="B82" s="42"/>
      <c r="C82" s="42"/>
      <c r="D82" s="42"/>
      <c r="E82" s="42"/>
      <c r="F82" s="45" t="str">
        <f aca="false">IF(E82="","",ROUND(E82*0.2,2))</f>
        <v/>
      </c>
      <c r="G82" s="45" t="str">
        <f aca="false">IF(E82="","",E82+F82)</f>
        <v/>
      </c>
      <c r="H82" s="42"/>
      <c r="I82" s="42"/>
      <c r="J82" s="42" t="str">
        <f aca="false">IF(A82="","",MONTH(A82))</f>
        <v/>
      </c>
      <c r="K82" s="42" t="str">
        <f aca="false">IF(A82="","",YEAR(A82))</f>
        <v/>
      </c>
      <c r="L82" s="42"/>
    </row>
    <row r="83" customFormat="false" ht="21.75" hidden="false" customHeight="true" outlineLevel="0" collapsed="false">
      <c r="A83" s="37"/>
      <c r="B83" s="37"/>
      <c r="C83" s="37"/>
      <c r="D83" s="37"/>
      <c r="E83" s="37"/>
      <c r="F83" s="40" t="str">
        <f aca="false">IF(E83="","",ROUND(E83*0.2,2))</f>
        <v/>
      </c>
      <c r="G83" s="40" t="str">
        <f aca="false">IF(E83="","",E83+F83)</f>
        <v/>
      </c>
      <c r="H83" s="37"/>
      <c r="I83" s="37"/>
      <c r="J83" s="37" t="str">
        <f aca="false">IF(A83="","",MONTH(A83))</f>
        <v/>
      </c>
      <c r="K83" s="37" t="str">
        <f aca="false">IF(A83="","",YEAR(A83))</f>
        <v/>
      </c>
      <c r="L83" s="37"/>
    </row>
    <row r="84" customFormat="false" ht="21.75" hidden="false" customHeight="true" outlineLevel="0" collapsed="false">
      <c r="A84" s="42"/>
      <c r="B84" s="42"/>
      <c r="C84" s="42"/>
      <c r="D84" s="42"/>
      <c r="E84" s="42"/>
      <c r="F84" s="45" t="str">
        <f aca="false">IF(E84="","",ROUND(E84*0.2,2))</f>
        <v/>
      </c>
      <c r="G84" s="45" t="str">
        <f aca="false">IF(E84="","",E84+F84)</f>
        <v/>
      </c>
      <c r="H84" s="42"/>
      <c r="I84" s="42"/>
      <c r="J84" s="42" t="str">
        <f aca="false">IF(A84="","",MONTH(A84))</f>
        <v/>
      </c>
      <c r="K84" s="42" t="str">
        <f aca="false">IF(A84="","",YEAR(A84))</f>
        <v/>
      </c>
      <c r="L84" s="42"/>
    </row>
    <row r="85" customFormat="false" ht="21.75" hidden="false" customHeight="true" outlineLevel="0" collapsed="false">
      <c r="A85" s="37"/>
      <c r="B85" s="37"/>
      <c r="C85" s="37"/>
      <c r="D85" s="37"/>
      <c r="E85" s="37"/>
      <c r="F85" s="40" t="str">
        <f aca="false">IF(E85="","",ROUND(E85*0.2,2))</f>
        <v/>
      </c>
      <c r="G85" s="40" t="str">
        <f aca="false">IF(E85="","",E85+F85)</f>
        <v/>
      </c>
      <c r="H85" s="37"/>
      <c r="I85" s="37"/>
      <c r="J85" s="37" t="str">
        <f aca="false">IF(A85="","",MONTH(A85))</f>
        <v/>
      </c>
      <c r="K85" s="37" t="str">
        <f aca="false">IF(A85="","",YEAR(A85))</f>
        <v/>
      </c>
      <c r="L85" s="37"/>
    </row>
    <row r="86" customFormat="false" ht="21.75" hidden="false" customHeight="true" outlineLevel="0" collapsed="false">
      <c r="A86" s="42"/>
      <c r="B86" s="42"/>
      <c r="C86" s="42"/>
      <c r="D86" s="42"/>
      <c r="E86" s="42"/>
      <c r="F86" s="45" t="str">
        <f aca="false">IF(E86="","",ROUND(E86*0.2,2))</f>
        <v/>
      </c>
      <c r="G86" s="45" t="str">
        <f aca="false">IF(E86="","",E86+F86)</f>
        <v/>
      </c>
      <c r="H86" s="42"/>
      <c r="I86" s="42"/>
      <c r="J86" s="42" t="str">
        <f aca="false">IF(A86="","",MONTH(A86))</f>
        <v/>
      </c>
      <c r="K86" s="42" t="str">
        <f aca="false">IF(A86="","",YEAR(A86))</f>
        <v/>
      </c>
      <c r="L86" s="42"/>
    </row>
    <row r="87" customFormat="false" ht="21.75" hidden="false" customHeight="true" outlineLevel="0" collapsed="false">
      <c r="A87" s="37"/>
      <c r="B87" s="37"/>
      <c r="C87" s="37"/>
      <c r="D87" s="37"/>
      <c r="E87" s="37"/>
      <c r="F87" s="40" t="str">
        <f aca="false">IF(E87="","",ROUND(E87*0.2,2))</f>
        <v/>
      </c>
      <c r="G87" s="40" t="str">
        <f aca="false">IF(E87="","",E87+F87)</f>
        <v/>
      </c>
      <c r="H87" s="37"/>
      <c r="I87" s="37"/>
      <c r="J87" s="37" t="str">
        <f aca="false">IF(A87="","",MONTH(A87))</f>
        <v/>
      </c>
      <c r="K87" s="37" t="str">
        <f aca="false">IF(A87="","",YEAR(A87))</f>
        <v/>
      </c>
      <c r="L87" s="37"/>
    </row>
    <row r="88" customFormat="false" ht="21.75" hidden="false" customHeight="true" outlineLevel="0" collapsed="false">
      <c r="A88" s="42"/>
      <c r="B88" s="42"/>
      <c r="C88" s="42"/>
      <c r="D88" s="42"/>
      <c r="E88" s="42"/>
      <c r="F88" s="45" t="str">
        <f aca="false">IF(E88="","",ROUND(E88*0.2,2))</f>
        <v/>
      </c>
      <c r="G88" s="45" t="str">
        <f aca="false">IF(E88="","",E88+F88)</f>
        <v/>
      </c>
      <c r="H88" s="42"/>
      <c r="I88" s="42"/>
      <c r="J88" s="42" t="str">
        <f aca="false">IF(A88="","",MONTH(A88))</f>
        <v/>
      </c>
      <c r="K88" s="42" t="str">
        <f aca="false">IF(A88="","",YEAR(A88))</f>
        <v/>
      </c>
      <c r="L88" s="42"/>
    </row>
    <row r="89" customFormat="false" ht="21.75" hidden="false" customHeight="true" outlineLevel="0" collapsed="false">
      <c r="A89" s="37"/>
      <c r="B89" s="37"/>
      <c r="C89" s="37"/>
      <c r="D89" s="37"/>
      <c r="E89" s="37"/>
      <c r="F89" s="40" t="str">
        <f aca="false">IF(E89="","",ROUND(E89*0.2,2))</f>
        <v/>
      </c>
      <c r="G89" s="40" t="str">
        <f aca="false">IF(E89="","",E89+F89)</f>
        <v/>
      </c>
      <c r="H89" s="37"/>
      <c r="I89" s="37"/>
      <c r="J89" s="37" t="str">
        <f aca="false">IF(A89="","",MONTH(A89))</f>
        <v/>
      </c>
      <c r="K89" s="37" t="str">
        <f aca="false">IF(A89="","",YEAR(A89))</f>
        <v/>
      </c>
      <c r="L89" s="37"/>
    </row>
    <row r="90" customFormat="false" ht="21.75" hidden="false" customHeight="true" outlineLevel="0" collapsed="false">
      <c r="A90" s="42"/>
      <c r="B90" s="42"/>
      <c r="C90" s="42"/>
      <c r="D90" s="42"/>
      <c r="E90" s="42"/>
      <c r="F90" s="45" t="str">
        <f aca="false">IF(E90="","",ROUND(E90*0.2,2))</f>
        <v/>
      </c>
      <c r="G90" s="45" t="str">
        <f aca="false">IF(E90="","",E90+F90)</f>
        <v/>
      </c>
      <c r="H90" s="42"/>
      <c r="I90" s="42"/>
      <c r="J90" s="42" t="str">
        <f aca="false">IF(A90="","",MONTH(A90))</f>
        <v/>
      </c>
      <c r="K90" s="42" t="str">
        <f aca="false">IF(A90="","",YEAR(A90))</f>
        <v/>
      </c>
      <c r="L90" s="42"/>
    </row>
    <row r="91" customFormat="false" ht="21.75" hidden="false" customHeight="true" outlineLevel="0" collapsed="false">
      <c r="A91" s="37"/>
      <c r="B91" s="37"/>
      <c r="C91" s="37"/>
      <c r="D91" s="37"/>
      <c r="E91" s="37"/>
      <c r="F91" s="40" t="str">
        <f aca="false">IF(E91="","",ROUND(E91*0.2,2))</f>
        <v/>
      </c>
      <c r="G91" s="40" t="str">
        <f aca="false">IF(E91="","",E91+F91)</f>
        <v/>
      </c>
      <c r="H91" s="37"/>
      <c r="I91" s="37"/>
      <c r="J91" s="37" t="str">
        <f aca="false">IF(A91="","",MONTH(A91))</f>
        <v/>
      </c>
      <c r="K91" s="37" t="str">
        <f aca="false">IF(A91="","",YEAR(A91))</f>
        <v/>
      </c>
      <c r="L91" s="37"/>
    </row>
    <row r="92" customFormat="false" ht="21.75" hidden="false" customHeight="true" outlineLevel="0" collapsed="false">
      <c r="A92" s="42"/>
      <c r="B92" s="42"/>
      <c r="C92" s="42"/>
      <c r="D92" s="42"/>
      <c r="E92" s="42"/>
      <c r="F92" s="45" t="str">
        <f aca="false">IF(E92="","",ROUND(E92*0.2,2))</f>
        <v/>
      </c>
      <c r="G92" s="45" t="str">
        <f aca="false">IF(E92="","",E92+F92)</f>
        <v/>
      </c>
      <c r="H92" s="42"/>
      <c r="I92" s="42"/>
      <c r="J92" s="42" t="str">
        <f aca="false">IF(A92="","",MONTH(A92))</f>
        <v/>
      </c>
      <c r="K92" s="42" t="str">
        <f aca="false">IF(A92="","",YEAR(A92))</f>
        <v/>
      </c>
      <c r="L92" s="42"/>
    </row>
    <row r="93" customFormat="false" ht="21.75" hidden="false" customHeight="true" outlineLevel="0" collapsed="false">
      <c r="A93" s="37"/>
      <c r="B93" s="37"/>
      <c r="C93" s="37"/>
      <c r="D93" s="37"/>
      <c r="E93" s="37"/>
      <c r="F93" s="40" t="str">
        <f aca="false">IF(E93="","",ROUND(E93*0.2,2))</f>
        <v/>
      </c>
      <c r="G93" s="40" t="str">
        <f aca="false">IF(E93="","",E93+F93)</f>
        <v/>
      </c>
      <c r="H93" s="37"/>
      <c r="I93" s="37"/>
      <c r="J93" s="37" t="str">
        <f aca="false">IF(A93="","",MONTH(A93))</f>
        <v/>
      </c>
      <c r="K93" s="37" t="str">
        <f aca="false">IF(A93="","",YEAR(A93))</f>
        <v/>
      </c>
      <c r="L93" s="37"/>
    </row>
    <row r="94" customFormat="false" ht="21.75" hidden="false" customHeight="true" outlineLevel="0" collapsed="false">
      <c r="A94" s="42"/>
      <c r="B94" s="42"/>
      <c r="C94" s="42"/>
      <c r="D94" s="42"/>
      <c r="E94" s="42"/>
      <c r="F94" s="45" t="str">
        <f aca="false">IF(E94="","",ROUND(E94*0.2,2))</f>
        <v/>
      </c>
      <c r="G94" s="45" t="str">
        <f aca="false">IF(E94="","",E94+F94)</f>
        <v/>
      </c>
      <c r="H94" s="42"/>
      <c r="I94" s="42"/>
      <c r="J94" s="42" t="str">
        <f aca="false">IF(A94="","",MONTH(A94))</f>
        <v/>
      </c>
      <c r="K94" s="42" t="str">
        <f aca="false">IF(A94="","",YEAR(A94))</f>
        <v/>
      </c>
      <c r="L94" s="42"/>
    </row>
    <row r="95" customFormat="false" ht="21.75" hidden="false" customHeight="true" outlineLevel="0" collapsed="false">
      <c r="A95" s="37"/>
      <c r="B95" s="37"/>
      <c r="C95" s="37"/>
      <c r="D95" s="37"/>
      <c r="E95" s="37"/>
      <c r="F95" s="40" t="str">
        <f aca="false">IF(E95="","",ROUND(E95*0.2,2))</f>
        <v/>
      </c>
      <c r="G95" s="40" t="str">
        <f aca="false">IF(E95="","",E95+F95)</f>
        <v/>
      </c>
      <c r="H95" s="37"/>
      <c r="I95" s="37"/>
      <c r="J95" s="37" t="str">
        <f aca="false">IF(A95="","",MONTH(A95))</f>
        <v/>
      </c>
      <c r="K95" s="37" t="str">
        <f aca="false">IF(A95="","",YEAR(A95))</f>
        <v/>
      </c>
      <c r="L95" s="37"/>
    </row>
    <row r="96" customFormat="false" ht="21.75" hidden="false" customHeight="true" outlineLevel="0" collapsed="false">
      <c r="A96" s="42"/>
      <c r="B96" s="42"/>
      <c r="C96" s="42"/>
      <c r="D96" s="42"/>
      <c r="E96" s="42"/>
      <c r="F96" s="45" t="str">
        <f aca="false">IF(E96="","",ROUND(E96*0.2,2))</f>
        <v/>
      </c>
      <c r="G96" s="45" t="str">
        <f aca="false">IF(E96="","",E96+F96)</f>
        <v/>
      </c>
      <c r="H96" s="42"/>
      <c r="I96" s="42"/>
      <c r="J96" s="42" t="str">
        <f aca="false">IF(A96="","",MONTH(A96))</f>
        <v/>
      </c>
      <c r="K96" s="42" t="str">
        <f aca="false">IF(A96="","",YEAR(A96))</f>
        <v/>
      </c>
      <c r="L96" s="42"/>
    </row>
    <row r="97" customFormat="false" ht="21.75" hidden="false" customHeight="true" outlineLevel="0" collapsed="false">
      <c r="A97" s="37"/>
      <c r="B97" s="37"/>
      <c r="C97" s="37"/>
      <c r="D97" s="37"/>
      <c r="E97" s="37"/>
      <c r="F97" s="40" t="str">
        <f aca="false">IF(E97="","",ROUND(E97*0.2,2))</f>
        <v/>
      </c>
      <c r="G97" s="40" t="str">
        <f aca="false">IF(E97="","",E97+F97)</f>
        <v/>
      </c>
      <c r="H97" s="37"/>
      <c r="I97" s="37"/>
      <c r="J97" s="37" t="str">
        <f aca="false">IF(A97="","",MONTH(A97))</f>
        <v/>
      </c>
      <c r="K97" s="37" t="str">
        <f aca="false">IF(A97="","",YEAR(A97))</f>
        <v/>
      </c>
      <c r="L97" s="37"/>
    </row>
    <row r="98" customFormat="false" ht="21.75" hidden="false" customHeight="true" outlineLevel="0" collapsed="false">
      <c r="A98" s="42"/>
      <c r="B98" s="42"/>
      <c r="C98" s="42"/>
      <c r="D98" s="42"/>
      <c r="E98" s="42"/>
      <c r="F98" s="45" t="str">
        <f aca="false">IF(E98="","",ROUND(E98*0.2,2))</f>
        <v/>
      </c>
      <c r="G98" s="45" t="str">
        <f aca="false">IF(E98="","",E98+F98)</f>
        <v/>
      </c>
      <c r="H98" s="42"/>
      <c r="I98" s="42"/>
      <c r="J98" s="42" t="str">
        <f aca="false">IF(A98="","",MONTH(A98))</f>
        <v/>
      </c>
      <c r="K98" s="42" t="str">
        <f aca="false">IF(A98="","",YEAR(A98))</f>
        <v/>
      </c>
      <c r="L98" s="42"/>
    </row>
    <row r="99" customFormat="false" ht="21.75" hidden="false" customHeight="true" outlineLevel="0" collapsed="false">
      <c r="A99" s="37"/>
      <c r="B99" s="37"/>
      <c r="C99" s="37"/>
      <c r="D99" s="37"/>
      <c r="E99" s="37"/>
      <c r="F99" s="40" t="str">
        <f aca="false">IF(E99="","",ROUND(E99*0.2,2))</f>
        <v/>
      </c>
      <c r="G99" s="40" t="str">
        <f aca="false">IF(E99="","",E99+F99)</f>
        <v/>
      </c>
      <c r="H99" s="37"/>
      <c r="I99" s="37"/>
      <c r="J99" s="37" t="str">
        <f aca="false">IF(A99="","",MONTH(A99))</f>
        <v/>
      </c>
      <c r="K99" s="37" t="str">
        <f aca="false">IF(A99="","",YEAR(A99))</f>
        <v/>
      </c>
      <c r="L99" s="37"/>
    </row>
    <row r="100" customFormat="false" ht="21.75" hidden="false" customHeight="true" outlineLevel="0" collapsed="false">
      <c r="A100" s="42"/>
      <c r="B100" s="42"/>
      <c r="C100" s="42"/>
      <c r="D100" s="42"/>
      <c r="E100" s="42"/>
      <c r="F100" s="45" t="str">
        <f aca="false">IF(E100="","",ROUND(E100*0.2,2))</f>
        <v/>
      </c>
      <c r="G100" s="45" t="str">
        <f aca="false">IF(E100="","",E100+F100)</f>
        <v/>
      </c>
      <c r="H100" s="42"/>
      <c r="I100" s="42"/>
      <c r="J100" s="42" t="str">
        <f aca="false">IF(A100="","",MONTH(A100))</f>
        <v/>
      </c>
      <c r="K100" s="42" t="str">
        <f aca="false">IF(A100="","",YEAR(A100))</f>
        <v/>
      </c>
      <c r="L100" s="42"/>
    </row>
    <row r="101" customFormat="false" ht="21.75" hidden="false" customHeight="true" outlineLevel="0" collapsed="false">
      <c r="A101" s="37"/>
      <c r="B101" s="37"/>
      <c r="C101" s="37"/>
      <c r="D101" s="37"/>
      <c r="E101" s="37"/>
      <c r="F101" s="40" t="str">
        <f aca="false">IF(E101="","",ROUND(E101*0.2,2))</f>
        <v/>
      </c>
      <c r="G101" s="40" t="str">
        <f aca="false">IF(E101="","",E101+F101)</f>
        <v/>
      </c>
      <c r="H101" s="37"/>
      <c r="I101" s="37"/>
      <c r="J101" s="37" t="str">
        <f aca="false">IF(A101="","",MONTH(A101))</f>
        <v/>
      </c>
      <c r="K101" s="37" t="str">
        <f aca="false">IF(A101="","",YEAR(A101))</f>
        <v/>
      </c>
      <c r="L101" s="37"/>
    </row>
    <row r="102" customFormat="false" ht="21.75" hidden="false" customHeight="true" outlineLevel="0" collapsed="false">
      <c r="A102" s="42"/>
      <c r="B102" s="42"/>
      <c r="C102" s="42"/>
      <c r="D102" s="42"/>
      <c r="E102" s="42"/>
      <c r="F102" s="45" t="str">
        <f aca="false">IF(E102="","",ROUND(E102*0.2,2))</f>
        <v/>
      </c>
      <c r="G102" s="45" t="str">
        <f aca="false">IF(E102="","",E102+F102)</f>
        <v/>
      </c>
      <c r="H102" s="42"/>
      <c r="I102" s="42"/>
      <c r="J102" s="42" t="str">
        <f aca="false">IF(A102="","",MONTH(A102))</f>
        <v/>
      </c>
      <c r="K102" s="42" t="str">
        <f aca="false">IF(A102="","",YEAR(A102))</f>
        <v/>
      </c>
      <c r="L102" s="42"/>
    </row>
    <row r="103" customFormat="false" ht="21.75" hidden="false" customHeight="true" outlineLevel="0" collapsed="false">
      <c r="A103" s="37"/>
      <c r="B103" s="37"/>
      <c r="C103" s="37"/>
      <c r="D103" s="37"/>
      <c r="E103" s="37"/>
      <c r="F103" s="40" t="str">
        <f aca="false">IF(E103="","",ROUND(E103*0.2,2))</f>
        <v/>
      </c>
      <c r="G103" s="40" t="str">
        <f aca="false">IF(E103="","",E103+F103)</f>
        <v/>
      </c>
      <c r="H103" s="37"/>
      <c r="I103" s="37"/>
      <c r="J103" s="37" t="str">
        <f aca="false">IF(A103="","",MONTH(A103))</f>
        <v/>
      </c>
      <c r="K103" s="37" t="str">
        <f aca="false">IF(A103="","",YEAR(A103))</f>
        <v/>
      </c>
      <c r="L103" s="37"/>
    </row>
    <row r="104" customFormat="false" ht="21.75" hidden="false" customHeight="true" outlineLevel="0" collapsed="false">
      <c r="A104" s="42"/>
      <c r="B104" s="42"/>
      <c r="C104" s="42"/>
      <c r="D104" s="42"/>
      <c r="E104" s="42"/>
      <c r="F104" s="45" t="str">
        <f aca="false">IF(E104="","",ROUND(E104*0.2,2))</f>
        <v/>
      </c>
      <c r="G104" s="45" t="str">
        <f aca="false">IF(E104="","",E104+F104)</f>
        <v/>
      </c>
      <c r="H104" s="42"/>
      <c r="I104" s="42"/>
      <c r="J104" s="42" t="str">
        <f aca="false">IF(A104="","",MONTH(A104))</f>
        <v/>
      </c>
      <c r="K104" s="42" t="str">
        <f aca="false">IF(A104="","",YEAR(A104))</f>
        <v/>
      </c>
      <c r="L104" s="42"/>
    </row>
    <row r="105" customFormat="false" ht="21.75" hidden="false" customHeight="true" outlineLevel="0" collapsed="false">
      <c r="A105" s="37"/>
      <c r="B105" s="37"/>
      <c r="C105" s="37"/>
      <c r="D105" s="37"/>
      <c r="E105" s="37"/>
      <c r="F105" s="40" t="str">
        <f aca="false">IF(E105="","",ROUND(E105*0.2,2))</f>
        <v/>
      </c>
      <c r="G105" s="40" t="str">
        <f aca="false">IF(E105="","",E105+F105)</f>
        <v/>
      </c>
      <c r="H105" s="37"/>
      <c r="I105" s="37"/>
      <c r="J105" s="37" t="str">
        <f aca="false">IF(A105="","",MONTH(A105))</f>
        <v/>
      </c>
      <c r="K105" s="37" t="str">
        <f aca="false">IF(A105="","",YEAR(A105))</f>
        <v/>
      </c>
      <c r="L105" s="37"/>
    </row>
    <row r="106" customFormat="false" ht="21.75" hidden="false" customHeight="true" outlineLevel="0" collapsed="false">
      <c r="A106" s="42"/>
      <c r="B106" s="42"/>
      <c r="C106" s="42"/>
      <c r="D106" s="42"/>
      <c r="E106" s="42"/>
      <c r="F106" s="45" t="str">
        <f aca="false">IF(E106="","",ROUND(E106*0.2,2))</f>
        <v/>
      </c>
      <c r="G106" s="45" t="str">
        <f aca="false">IF(E106="","",E106+F106)</f>
        <v/>
      </c>
      <c r="H106" s="42"/>
      <c r="I106" s="42"/>
      <c r="J106" s="42" t="str">
        <f aca="false">IF(A106="","",MONTH(A106))</f>
        <v/>
      </c>
      <c r="K106" s="42" t="str">
        <f aca="false">IF(A106="","",YEAR(A106))</f>
        <v/>
      </c>
      <c r="L106" s="42"/>
    </row>
    <row r="107" customFormat="false" ht="21.75" hidden="false" customHeight="true" outlineLevel="0" collapsed="false">
      <c r="A107" s="37"/>
      <c r="B107" s="37"/>
      <c r="C107" s="37"/>
      <c r="D107" s="37"/>
      <c r="E107" s="37"/>
      <c r="F107" s="40" t="str">
        <f aca="false">IF(E107="","",ROUND(E107*0.2,2))</f>
        <v/>
      </c>
      <c r="G107" s="40" t="str">
        <f aca="false">IF(E107="","",E107+F107)</f>
        <v/>
      </c>
      <c r="H107" s="37"/>
      <c r="I107" s="37"/>
      <c r="J107" s="37" t="str">
        <f aca="false">IF(A107="","",MONTH(A107))</f>
        <v/>
      </c>
      <c r="K107" s="37" t="str">
        <f aca="false">IF(A107="","",YEAR(A107))</f>
        <v/>
      </c>
      <c r="L107" s="37"/>
    </row>
    <row r="108" customFormat="false" ht="21.75" hidden="false" customHeight="true" outlineLevel="0" collapsed="false">
      <c r="A108" s="42"/>
      <c r="B108" s="42"/>
      <c r="C108" s="42"/>
      <c r="D108" s="42"/>
      <c r="E108" s="42"/>
      <c r="F108" s="45" t="str">
        <f aca="false">IF(E108="","",ROUND(E108*0.2,2))</f>
        <v/>
      </c>
      <c r="G108" s="45" t="str">
        <f aca="false">IF(E108="","",E108+F108)</f>
        <v/>
      </c>
      <c r="H108" s="42"/>
      <c r="I108" s="42"/>
      <c r="J108" s="42" t="str">
        <f aca="false">IF(A108="","",MONTH(A108))</f>
        <v/>
      </c>
      <c r="K108" s="42" t="str">
        <f aca="false">IF(A108="","",YEAR(A108))</f>
        <v/>
      </c>
      <c r="L108" s="42"/>
    </row>
    <row r="109" customFormat="false" ht="21.75" hidden="false" customHeight="true" outlineLevel="0" collapsed="false">
      <c r="A109" s="37"/>
      <c r="B109" s="37"/>
      <c r="C109" s="37"/>
      <c r="D109" s="37"/>
      <c r="E109" s="37"/>
      <c r="F109" s="40" t="str">
        <f aca="false">IF(E109="","",ROUND(E109*0.2,2))</f>
        <v/>
      </c>
      <c r="G109" s="40" t="str">
        <f aca="false">IF(E109="","",E109+F109)</f>
        <v/>
      </c>
      <c r="H109" s="37"/>
      <c r="I109" s="37"/>
      <c r="J109" s="37" t="str">
        <f aca="false">IF(A109="","",MONTH(A109))</f>
        <v/>
      </c>
      <c r="K109" s="37" t="str">
        <f aca="false">IF(A109="","",YEAR(A109))</f>
        <v/>
      </c>
      <c r="L109" s="37"/>
    </row>
    <row r="110" customFormat="false" ht="21.75" hidden="false" customHeight="true" outlineLevel="0" collapsed="false">
      <c r="A110" s="42"/>
      <c r="B110" s="42"/>
      <c r="C110" s="42"/>
      <c r="D110" s="42"/>
      <c r="E110" s="42"/>
      <c r="F110" s="45" t="str">
        <f aca="false">IF(E110="","",ROUND(E110*0.2,2))</f>
        <v/>
      </c>
      <c r="G110" s="45" t="str">
        <f aca="false">IF(E110="","",E110+F110)</f>
        <v/>
      </c>
      <c r="H110" s="42"/>
      <c r="I110" s="42"/>
      <c r="J110" s="42" t="str">
        <f aca="false">IF(A110="","",MONTH(A110))</f>
        <v/>
      </c>
      <c r="K110" s="42" t="str">
        <f aca="false">IF(A110="","",YEAR(A110))</f>
        <v/>
      </c>
      <c r="L110" s="42"/>
    </row>
    <row r="111" customFormat="false" ht="21.75" hidden="false" customHeight="true" outlineLevel="0" collapsed="false">
      <c r="A111" s="37"/>
      <c r="B111" s="37"/>
      <c r="C111" s="37"/>
      <c r="D111" s="37"/>
      <c r="E111" s="37"/>
      <c r="F111" s="40" t="str">
        <f aca="false">IF(E111="","",ROUND(E111*0.2,2))</f>
        <v/>
      </c>
      <c r="G111" s="40" t="str">
        <f aca="false">IF(E111="","",E111+F111)</f>
        <v/>
      </c>
      <c r="H111" s="37"/>
      <c r="I111" s="37"/>
      <c r="J111" s="37" t="str">
        <f aca="false">IF(A111="","",MONTH(A111))</f>
        <v/>
      </c>
      <c r="K111" s="37" t="str">
        <f aca="false">IF(A111="","",YEAR(A111))</f>
        <v/>
      </c>
      <c r="L111" s="37"/>
    </row>
    <row r="112" customFormat="false" ht="21.75" hidden="false" customHeight="true" outlineLevel="0" collapsed="false">
      <c r="A112" s="42"/>
      <c r="B112" s="42"/>
      <c r="C112" s="42"/>
      <c r="D112" s="42"/>
      <c r="E112" s="42"/>
      <c r="F112" s="45" t="str">
        <f aca="false">IF(E112="","",ROUND(E112*0.2,2))</f>
        <v/>
      </c>
      <c r="G112" s="45" t="str">
        <f aca="false">IF(E112="","",E112+F112)</f>
        <v/>
      </c>
      <c r="H112" s="42"/>
      <c r="I112" s="42"/>
      <c r="J112" s="42" t="str">
        <f aca="false">IF(A112="","",MONTH(A112))</f>
        <v/>
      </c>
      <c r="K112" s="42" t="str">
        <f aca="false">IF(A112="","",YEAR(A112))</f>
        <v/>
      </c>
      <c r="L112" s="42"/>
    </row>
    <row r="113" customFormat="false" ht="21.75" hidden="false" customHeight="true" outlineLevel="0" collapsed="false">
      <c r="A113" s="37"/>
      <c r="B113" s="37"/>
      <c r="C113" s="37"/>
      <c r="D113" s="37"/>
      <c r="E113" s="37"/>
      <c r="F113" s="40" t="str">
        <f aca="false">IF(E113="","",ROUND(E113*0.2,2))</f>
        <v/>
      </c>
      <c r="G113" s="40" t="str">
        <f aca="false">IF(E113="","",E113+F113)</f>
        <v/>
      </c>
      <c r="H113" s="37"/>
      <c r="I113" s="37"/>
      <c r="J113" s="37" t="str">
        <f aca="false">IF(A113="","",MONTH(A113))</f>
        <v/>
      </c>
      <c r="K113" s="37" t="str">
        <f aca="false">IF(A113="","",YEAR(A113))</f>
        <v/>
      </c>
      <c r="L113" s="37"/>
    </row>
    <row r="114" customFormat="false" ht="21.75" hidden="false" customHeight="true" outlineLevel="0" collapsed="false">
      <c r="A114" s="42"/>
      <c r="B114" s="42"/>
      <c r="C114" s="42"/>
      <c r="D114" s="42"/>
      <c r="E114" s="42"/>
      <c r="F114" s="45" t="str">
        <f aca="false">IF(E114="","",ROUND(E114*0.2,2))</f>
        <v/>
      </c>
      <c r="G114" s="45" t="str">
        <f aca="false">IF(E114="","",E114+F114)</f>
        <v/>
      </c>
      <c r="H114" s="42"/>
      <c r="I114" s="42"/>
      <c r="J114" s="42" t="str">
        <f aca="false">IF(A114="","",MONTH(A114))</f>
        <v/>
      </c>
      <c r="K114" s="42" t="str">
        <f aca="false">IF(A114="","",YEAR(A114))</f>
        <v/>
      </c>
      <c r="L114" s="42"/>
    </row>
    <row r="115" customFormat="false" ht="21.75" hidden="false" customHeight="true" outlineLevel="0" collapsed="false">
      <c r="A115" s="37"/>
      <c r="B115" s="37"/>
      <c r="C115" s="37"/>
      <c r="D115" s="37"/>
      <c r="E115" s="37"/>
      <c r="F115" s="40" t="str">
        <f aca="false">IF(E115="","",ROUND(E115*0.2,2))</f>
        <v/>
      </c>
      <c r="G115" s="40" t="str">
        <f aca="false">IF(E115="","",E115+F115)</f>
        <v/>
      </c>
      <c r="H115" s="37"/>
      <c r="I115" s="37"/>
      <c r="J115" s="37" t="str">
        <f aca="false">IF(A115="","",MONTH(A115))</f>
        <v/>
      </c>
      <c r="K115" s="37" t="str">
        <f aca="false">IF(A115="","",YEAR(A115))</f>
        <v/>
      </c>
      <c r="L115" s="37"/>
    </row>
    <row r="116" customFormat="false" ht="21.75" hidden="false" customHeight="true" outlineLevel="0" collapsed="false">
      <c r="A116" s="42"/>
      <c r="B116" s="42"/>
      <c r="C116" s="42"/>
      <c r="D116" s="42"/>
      <c r="E116" s="42"/>
      <c r="F116" s="45" t="str">
        <f aca="false">IF(E116="","",ROUND(E116*0.2,2))</f>
        <v/>
      </c>
      <c r="G116" s="45" t="str">
        <f aca="false">IF(E116="","",E116+F116)</f>
        <v/>
      </c>
      <c r="H116" s="42"/>
      <c r="I116" s="42"/>
      <c r="J116" s="42" t="str">
        <f aca="false">IF(A116="","",MONTH(A116))</f>
        <v/>
      </c>
      <c r="K116" s="42" t="str">
        <f aca="false">IF(A116="","",YEAR(A116))</f>
        <v/>
      </c>
      <c r="L116" s="42"/>
    </row>
    <row r="117" customFormat="false" ht="21.75" hidden="false" customHeight="true" outlineLevel="0" collapsed="false">
      <c r="A117" s="37"/>
      <c r="B117" s="37"/>
      <c r="C117" s="37"/>
      <c r="D117" s="37"/>
      <c r="E117" s="37"/>
      <c r="F117" s="40" t="str">
        <f aca="false">IF(E117="","",ROUND(E117*0.2,2))</f>
        <v/>
      </c>
      <c r="G117" s="40" t="str">
        <f aca="false">IF(E117="","",E117+F117)</f>
        <v/>
      </c>
      <c r="H117" s="37"/>
      <c r="I117" s="37"/>
      <c r="J117" s="37" t="str">
        <f aca="false">IF(A117="","",MONTH(A117))</f>
        <v/>
      </c>
      <c r="K117" s="37" t="str">
        <f aca="false">IF(A117="","",YEAR(A117))</f>
        <v/>
      </c>
      <c r="L117" s="37"/>
    </row>
    <row r="118" customFormat="false" ht="21.75" hidden="false" customHeight="true" outlineLevel="0" collapsed="false">
      <c r="A118" s="42"/>
      <c r="B118" s="42"/>
      <c r="C118" s="42"/>
      <c r="D118" s="42"/>
      <c r="E118" s="42"/>
      <c r="F118" s="45" t="str">
        <f aca="false">IF(E118="","",ROUND(E118*0.2,2))</f>
        <v/>
      </c>
      <c r="G118" s="45" t="str">
        <f aca="false">IF(E118="","",E118+F118)</f>
        <v/>
      </c>
      <c r="H118" s="42"/>
      <c r="I118" s="42"/>
      <c r="J118" s="42" t="str">
        <f aca="false">IF(A118="","",MONTH(A118))</f>
        <v/>
      </c>
      <c r="K118" s="42" t="str">
        <f aca="false">IF(A118="","",YEAR(A118))</f>
        <v/>
      </c>
      <c r="L118" s="42"/>
    </row>
    <row r="119" customFormat="false" ht="21.75" hidden="false" customHeight="true" outlineLevel="0" collapsed="false">
      <c r="A119" s="37"/>
      <c r="B119" s="37"/>
      <c r="C119" s="37"/>
      <c r="D119" s="37"/>
      <c r="E119" s="37"/>
      <c r="F119" s="40" t="str">
        <f aca="false">IF(E119="","",ROUND(E119*0.2,2))</f>
        <v/>
      </c>
      <c r="G119" s="40" t="str">
        <f aca="false">IF(E119="","",E119+F119)</f>
        <v/>
      </c>
      <c r="H119" s="37"/>
      <c r="I119" s="37"/>
      <c r="J119" s="37" t="str">
        <f aca="false">IF(A119="","",MONTH(A119))</f>
        <v/>
      </c>
      <c r="K119" s="37" t="str">
        <f aca="false">IF(A119="","",YEAR(A119))</f>
        <v/>
      </c>
      <c r="L119" s="37"/>
    </row>
    <row r="120" customFormat="false" ht="21.75" hidden="false" customHeight="true" outlineLevel="0" collapsed="false">
      <c r="A120" s="42"/>
      <c r="B120" s="42"/>
      <c r="C120" s="42"/>
      <c r="D120" s="42"/>
      <c r="E120" s="42"/>
      <c r="F120" s="45" t="str">
        <f aca="false">IF(E120="","",ROUND(E120*0.2,2))</f>
        <v/>
      </c>
      <c r="G120" s="45" t="str">
        <f aca="false">IF(E120="","",E120+F120)</f>
        <v/>
      </c>
      <c r="H120" s="42"/>
      <c r="I120" s="42"/>
      <c r="J120" s="42" t="str">
        <f aca="false">IF(A120="","",MONTH(A120))</f>
        <v/>
      </c>
      <c r="K120" s="42" t="str">
        <f aca="false">IF(A120="","",YEAR(A120))</f>
        <v/>
      </c>
      <c r="L120" s="42"/>
    </row>
    <row r="121" customFormat="false" ht="21.75" hidden="false" customHeight="true" outlineLevel="0" collapsed="false">
      <c r="A121" s="37"/>
      <c r="B121" s="37"/>
      <c r="C121" s="37"/>
      <c r="D121" s="37"/>
      <c r="E121" s="37"/>
      <c r="F121" s="40" t="str">
        <f aca="false">IF(E121="","",ROUND(E121*0.2,2))</f>
        <v/>
      </c>
      <c r="G121" s="40" t="str">
        <f aca="false">IF(E121="","",E121+F121)</f>
        <v/>
      </c>
      <c r="H121" s="37"/>
      <c r="I121" s="37"/>
      <c r="J121" s="37" t="str">
        <f aca="false">IF(A121="","",MONTH(A121))</f>
        <v/>
      </c>
      <c r="K121" s="37" t="str">
        <f aca="false">IF(A121="","",YEAR(A121))</f>
        <v/>
      </c>
      <c r="L121" s="37"/>
    </row>
    <row r="122" customFormat="false" ht="21.75" hidden="false" customHeight="true" outlineLevel="0" collapsed="false">
      <c r="A122" s="42"/>
      <c r="B122" s="42"/>
      <c r="C122" s="42"/>
      <c r="D122" s="42"/>
      <c r="E122" s="42"/>
      <c r="F122" s="45" t="str">
        <f aca="false">IF(E122="","",ROUND(E122*0.2,2))</f>
        <v/>
      </c>
      <c r="G122" s="45" t="str">
        <f aca="false">IF(E122="","",E122+F122)</f>
        <v/>
      </c>
      <c r="H122" s="42"/>
      <c r="I122" s="42"/>
      <c r="J122" s="42" t="str">
        <f aca="false">IF(A122="","",MONTH(A122))</f>
        <v/>
      </c>
      <c r="K122" s="42" t="str">
        <f aca="false">IF(A122="","",YEAR(A122))</f>
        <v/>
      </c>
      <c r="L122" s="42"/>
    </row>
    <row r="123" customFormat="false" ht="21.75" hidden="false" customHeight="true" outlineLevel="0" collapsed="false">
      <c r="A123" s="37"/>
      <c r="B123" s="37"/>
      <c r="C123" s="37"/>
      <c r="D123" s="37"/>
      <c r="E123" s="37"/>
      <c r="F123" s="40" t="str">
        <f aca="false">IF(E123="","",ROUND(E123*0.2,2))</f>
        <v/>
      </c>
      <c r="G123" s="40" t="str">
        <f aca="false">IF(E123="","",E123+F123)</f>
        <v/>
      </c>
      <c r="H123" s="37"/>
      <c r="I123" s="37"/>
      <c r="J123" s="37" t="str">
        <f aca="false">IF(A123="","",MONTH(A123))</f>
        <v/>
      </c>
      <c r="K123" s="37" t="str">
        <f aca="false">IF(A123="","",YEAR(A123))</f>
        <v/>
      </c>
      <c r="L123" s="37"/>
    </row>
    <row r="124" customFormat="false" ht="21.75" hidden="false" customHeight="true" outlineLevel="0" collapsed="false">
      <c r="A124" s="42"/>
      <c r="B124" s="42"/>
      <c r="C124" s="42"/>
      <c r="D124" s="42"/>
      <c r="E124" s="42"/>
      <c r="F124" s="45" t="str">
        <f aca="false">IF(E124="","",ROUND(E124*0.2,2))</f>
        <v/>
      </c>
      <c r="G124" s="45" t="str">
        <f aca="false">IF(E124="","",E124+F124)</f>
        <v/>
      </c>
      <c r="H124" s="42"/>
      <c r="I124" s="42"/>
      <c r="J124" s="42" t="str">
        <f aca="false">IF(A124="","",MONTH(A124))</f>
        <v/>
      </c>
      <c r="K124" s="42" t="str">
        <f aca="false">IF(A124="","",YEAR(A124))</f>
        <v/>
      </c>
      <c r="L124" s="42"/>
    </row>
    <row r="125" customFormat="false" ht="21.75" hidden="false" customHeight="true" outlineLevel="0" collapsed="false">
      <c r="A125" s="37"/>
      <c r="B125" s="37"/>
      <c r="C125" s="37"/>
      <c r="D125" s="37"/>
      <c r="E125" s="37"/>
      <c r="F125" s="40" t="str">
        <f aca="false">IF(E125="","",ROUND(E125*0.2,2))</f>
        <v/>
      </c>
      <c r="G125" s="40" t="str">
        <f aca="false">IF(E125="","",E125+F125)</f>
        <v/>
      </c>
      <c r="H125" s="37"/>
      <c r="I125" s="37"/>
      <c r="J125" s="37" t="str">
        <f aca="false">IF(A125="","",MONTH(A125))</f>
        <v/>
      </c>
      <c r="K125" s="37" t="str">
        <f aca="false">IF(A125="","",YEAR(A125))</f>
        <v/>
      </c>
      <c r="L125" s="37"/>
    </row>
    <row r="126" customFormat="false" ht="21.75" hidden="false" customHeight="true" outlineLevel="0" collapsed="false">
      <c r="A126" s="42"/>
      <c r="B126" s="42"/>
      <c r="C126" s="42"/>
      <c r="D126" s="42"/>
      <c r="E126" s="42"/>
      <c r="F126" s="45" t="str">
        <f aca="false">IF(E126="","",ROUND(E126*0.2,2))</f>
        <v/>
      </c>
      <c r="G126" s="45" t="str">
        <f aca="false">IF(E126="","",E126+F126)</f>
        <v/>
      </c>
      <c r="H126" s="42"/>
      <c r="I126" s="42"/>
      <c r="J126" s="42" t="str">
        <f aca="false">IF(A126="","",MONTH(A126))</f>
        <v/>
      </c>
      <c r="K126" s="42" t="str">
        <f aca="false">IF(A126="","",YEAR(A126))</f>
        <v/>
      </c>
      <c r="L126" s="42"/>
    </row>
    <row r="127" customFormat="false" ht="21.75" hidden="false" customHeight="true" outlineLevel="0" collapsed="false">
      <c r="A127" s="37"/>
      <c r="B127" s="37"/>
      <c r="C127" s="37"/>
      <c r="D127" s="37"/>
      <c r="E127" s="37"/>
      <c r="F127" s="40" t="str">
        <f aca="false">IF(E127="","",ROUND(E127*0.2,2))</f>
        <v/>
      </c>
      <c r="G127" s="40" t="str">
        <f aca="false">IF(E127="","",E127+F127)</f>
        <v/>
      </c>
      <c r="H127" s="37"/>
      <c r="I127" s="37"/>
      <c r="J127" s="37" t="str">
        <f aca="false">IF(A127="","",MONTH(A127))</f>
        <v/>
      </c>
      <c r="K127" s="37" t="str">
        <f aca="false">IF(A127="","",YEAR(A127))</f>
        <v/>
      </c>
      <c r="L127" s="37"/>
    </row>
    <row r="128" customFormat="false" ht="21.75" hidden="false" customHeight="true" outlineLevel="0" collapsed="false">
      <c r="A128" s="42"/>
      <c r="B128" s="42"/>
      <c r="C128" s="42"/>
      <c r="D128" s="42"/>
      <c r="E128" s="42"/>
      <c r="F128" s="45" t="str">
        <f aca="false">IF(E128="","",ROUND(E128*0.2,2))</f>
        <v/>
      </c>
      <c r="G128" s="45" t="str">
        <f aca="false">IF(E128="","",E128+F128)</f>
        <v/>
      </c>
      <c r="H128" s="42"/>
      <c r="I128" s="42"/>
      <c r="J128" s="42" t="str">
        <f aca="false">IF(A128="","",MONTH(A128))</f>
        <v/>
      </c>
      <c r="K128" s="42" t="str">
        <f aca="false">IF(A128="","",YEAR(A128))</f>
        <v/>
      </c>
      <c r="L128" s="42"/>
    </row>
    <row r="129" customFormat="false" ht="21.75" hidden="false" customHeight="true" outlineLevel="0" collapsed="false">
      <c r="A129" s="37"/>
      <c r="B129" s="37"/>
      <c r="C129" s="37"/>
      <c r="D129" s="37"/>
      <c r="E129" s="37"/>
      <c r="F129" s="40" t="str">
        <f aca="false">IF(E129="","",ROUND(E129*0.2,2))</f>
        <v/>
      </c>
      <c r="G129" s="40" t="str">
        <f aca="false">IF(E129="","",E129+F129)</f>
        <v/>
      </c>
      <c r="H129" s="37"/>
      <c r="I129" s="37"/>
      <c r="J129" s="37" t="str">
        <f aca="false">IF(A129="","",MONTH(A129))</f>
        <v/>
      </c>
      <c r="K129" s="37" t="str">
        <f aca="false">IF(A129="","",YEAR(A129))</f>
        <v/>
      </c>
      <c r="L129" s="37"/>
    </row>
    <row r="130" customFormat="false" ht="21.75" hidden="false" customHeight="true" outlineLevel="0" collapsed="false">
      <c r="A130" s="42"/>
      <c r="B130" s="42"/>
      <c r="C130" s="42"/>
      <c r="D130" s="42"/>
      <c r="E130" s="42"/>
      <c r="F130" s="45" t="str">
        <f aca="false">IF(E130="","",ROUND(E130*0.2,2))</f>
        <v/>
      </c>
      <c r="G130" s="45" t="str">
        <f aca="false">IF(E130="","",E130+F130)</f>
        <v/>
      </c>
      <c r="H130" s="42"/>
      <c r="I130" s="42"/>
      <c r="J130" s="42" t="str">
        <f aca="false">IF(A130="","",MONTH(A130))</f>
        <v/>
      </c>
      <c r="K130" s="42" t="str">
        <f aca="false">IF(A130="","",YEAR(A130))</f>
        <v/>
      </c>
      <c r="L130" s="42"/>
    </row>
    <row r="131" customFormat="false" ht="21.75" hidden="false" customHeight="true" outlineLevel="0" collapsed="false">
      <c r="A131" s="37"/>
      <c r="B131" s="37"/>
      <c r="C131" s="37"/>
      <c r="D131" s="37"/>
      <c r="E131" s="37"/>
      <c r="F131" s="40" t="str">
        <f aca="false">IF(E131="","",ROUND(E131*0.2,2))</f>
        <v/>
      </c>
      <c r="G131" s="40" t="str">
        <f aca="false">IF(E131="","",E131+F131)</f>
        <v/>
      </c>
      <c r="H131" s="37"/>
      <c r="I131" s="37"/>
      <c r="J131" s="37" t="str">
        <f aca="false">IF(A131="","",MONTH(A131))</f>
        <v/>
      </c>
      <c r="K131" s="37" t="str">
        <f aca="false">IF(A131="","",YEAR(A131))</f>
        <v/>
      </c>
      <c r="L131" s="37"/>
    </row>
    <row r="132" customFormat="false" ht="21.75" hidden="false" customHeight="true" outlineLevel="0" collapsed="false">
      <c r="A132" s="42"/>
      <c r="B132" s="42"/>
      <c r="C132" s="42"/>
      <c r="D132" s="42"/>
      <c r="E132" s="42"/>
      <c r="F132" s="45" t="str">
        <f aca="false">IF(E132="","",ROUND(E132*0.2,2))</f>
        <v/>
      </c>
      <c r="G132" s="45" t="str">
        <f aca="false">IF(E132="","",E132+F132)</f>
        <v/>
      </c>
      <c r="H132" s="42"/>
      <c r="I132" s="42"/>
      <c r="J132" s="42" t="str">
        <f aca="false">IF(A132="","",MONTH(A132))</f>
        <v/>
      </c>
      <c r="K132" s="42" t="str">
        <f aca="false">IF(A132="","",YEAR(A132))</f>
        <v/>
      </c>
      <c r="L132" s="42"/>
    </row>
    <row r="133" customFormat="false" ht="21.75" hidden="false" customHeight="true" outlineLevel="0" collapsed="false">
      <c r="A133" s="37"/>
      <c r="B133" s="37"/>
      <c r="C133" s="37"/>
      <c r="D133" s="37"/>
      <c r="E133" s="37"/>
      <c r="F133" s="40" t="str">
        <f aca="false">IF(E133="","",ROUND(E133*0.2,2))</f>
        <v/>
      </c>
      <c r="G133" s="40" t="str">
        <f aca="false">IF(E133="","",E133+F133)</f>
        <v/>
      </c>
      <c r="H133" s="37"/>
      <c r="I133" s="37"/>
      <c r="J133" s="37" t="str">
        <f aca="false">IF(A133="","",MONTH(A133))</f>
        <v/>
      </c>
      <c r="K133" s="37" t="str">
        <f aca="false">IF(A133="","",YEAR(A133))</f>
        <v/>
      </c>
      <c r="L133" s="37"/>
    </row>
    <row r="134" customFormat="false" ht="21.75" hidden="false" customHeight="true" outlineLevel="0" collapsed="false">
      <c r="A134" s="42"/>
      <c r="B134" s="42"/>
      <c r="C134" s="42"/>
      <c r="D134" s="42"/>
      <c r="E134" s="42"/>
      <c r="F134" s="45" t="str">
        <f aca="false">IF(E134="","",ROUND(E134*0.2,2))</f>
        <v/>
      </c>
      <c r="G134" s="45" t="str">
        <f aca="false">IF(E134="","",E134+F134)</f>
        <v/>
      </c>
      <c r="H134" s="42"/>
      <c r="I134" s="42"/>
      <c r="J134" s="42" t="str">
        <f aca="false">IF(A134="","",MONTH(A134))</f>
        <v/>
      </c>
      <c r="K134" s="42" t="str">
        <f aca="false">IF(A134="","",YEAR(A134))</f>
        <v/>
      </c>
      <c r="L134" s="42"/>
    </row>
    <row r="135" customFormat="false" ht="21.75" hidden="false" customHeight="true" outlineLevel="0" collapsed="false">
      <c r="A135" s="37"/>
      <c r="B135" s="37"/>
      <c r="C135" s="37"/>
      <c r="D135" s="37"/>
      <c r="E135" s="37"/>
      <c r="F135" s="40" t="str">
        <f aca="false">IF(E135="","",ROUND(E135*0.2,2))</f>
        <v/>
      </c>
      <c r="G135" s="40" t="str">
        <f aca="false">IF(E135="","",E135+F135)</f>
        <v/>
      </c>
      <c r="H135" s="37"/>
      <c r="I135" s="37"/>
      <c r="J135" s="37" t="str">
        <f aca="false">IF(A135="","",MONTH(A135))</f>
        <v/>
      </c>
      <c r="K135" s="37" t="str">
        <f aca="false">IF(A135="","",YEAR(A135))</f>
        <v/>
      </c>
      <c r="L135" s="37"/>
    </row>
    <row r="136" customFormat="false" ht="21.75" hidden="false" customHeight="true" outlineLevel="0" collapsed="false">
      <c r="A136" s="42"/>
      <c r="B136" s="42"/>
      <c r="C136" s="42"/>
      <c r="D136" s="42"/>
      <c r="E136" s="42"/>
      <c r="F136" s="45" t="str">
        <f aca="false">IF(E136="","",ROUND(E136*0.2,2))</f>
        <v/>
      </c>
      <c r="G136" s="45" t="str">
        <f aca="false">IF(E136="","",E136+F136)</f>
        <v/>
      </c>
      <c r="H136" s="42"/>
      <c r="I136" s="42"/>
      <c r="J136" s="42" t="str">
        <f aca="false">IF(A136="","",MONTH(A136))</f>
        <v/>
      </c>
      <c r="K136" s="42" t="str">
        <f aca="false">IF(A136="","",YEAR(A136))</f>
        <v/>
      </c>
      <c r="L136" s="42"/>
    </row>
    <row r="137" customFormat="false" ht="21.75" hidden="false" customHeight="true" outlineLevel="0" collapsed="false">
      <c r="A137" s="37"/>
      <c r="B137" s="37"/>
      <c r="C137" s="37"/>
      <c r="D137" s="37"/>
      <c r="E137" s="37"/>
      <c r="F137" s="40" t="str">
        <f aca="false">IF(E137="","",ROUND(E137*0.2,2))</f>
        <v/>
      </c>
      <c r="G137" s="40" t="str">
        <f aca="false">IF(E137="","",E137+F137)</f>
        <v/>
      </c>
      <c r="H137" s="37"/>
      <c r="I137" s="37"/>
      <c r="J137" s="37" t="str">
        <f aca="false">IF(A137="","",MONTH(A137))</f>
        <v/>
      </c>
      <c r="K137" s="37" t="str">
        <f aca="false">IF(A137="","",YEAR(A137))</f>
        <v/>
      </c>
      <c r="L137" s="37"/>
    </row>
    <row r="138" customFormat="false" ht="21.75" hidden="false" customHeight="true" outlineLevel="0" collapsed="false">
      <c r="A138" s="42"/>
      <c r="B138" s="42"/>
      <c r="C138" s="42"/>
      <c r="D138" s="42"/>
      <c r="E138" s="42"/>
      <c r="F138" s="45" t="str">
        <f aca="false">IF(E138="","",ROUND(E138*0.2,2))</f>
        <v/>
      </c>
      <c r="G138" s="45" t="str">
        <f aca="false">IF(E138="","",E138+F138)</f>
        <v/>
      </c>
      <c r="H138" s="42"/>
      <c r="I138" s="42"/>
      <c r="J138" s="42" t="str">
        <f aca="false">IF(A138="","",MONTH(A138))</f>
        <v/>
      </c>
      <c r="K138" s="42" t="str">
        <f aca="false">IF(A138="","",YEAR(A138))</f>
        <v/>
      </c>
      <c r="L138" s="42"/>
    </row>
    <row r="139" customFormat="false" ht="21.75" hidden="false" customHeight="true" outlineLevel="0" collapsed="false">
      <c r="A139" s="37"/>
      <c r="B139" s="37"/>
      <c r="C139" s="37"/>
      <c r="D139" s="37"/>
      <c r="E139" s="37"/>
      <c r="F139" s="40" t="str">
        <f aca="false">IF(E139="","",ROUND(E139*0.2,2))</f>
        <v/>
      </c>
      <c r="G139" s="40" t="str">
        <f aca="false">IF(E139="","",E139+F139)</f>
        <v/>
      </c>
      <c r="H139" s="37"/>
      <c r="I139" s="37"/>
      <c r="J139" s="37" t="str">
        <f aca="false">IF(A139="","",MONTH(A139))</f>
        <v/>
      </c>
      <c r="K139" s="37" t="str">
        <f aca="false">IF(A139="","",YEAR(A139))</f>
        <v/>
      </c>
      <c r="L139" s="37"/>
    </row>
    <row r="140" customFormat="false" ht="21.75" hidden="false" customHeight="true" outlineLevel="0" collapsed="false">
      <c r="A140" s="42"/>
      <c r="B140" s="42"/>
      <c r="C140" s="42"/>
      <c r="D140" s="42"/>
      <c r="E140" s="42"/>
      <c r="F140" s="45" t="str">
        <f aca="false">IF(E140="","",ROUND(E140*0.2,2))</f>
        <v/>
      </c>
      <c r="G140" s="45" t="str">
        <f aca="false">IF(E140="","",E140+F140)</f>
        <v/>
      </c>
      <c r="H140" s="42"/>
      <c r="I140" s="42"/>
      <c r="J140" s="42" t="str">
        <f aca="false">IF(A140="","",MONTH(A140))</f>
        <v/>
      </c>
      <c r="K140" s="42" t="str">
        <f aca="false">IF(A140="","",YEAR(A140))</f>
        <v/>
      </c>
      <c r="L140" s="42"/>
    </row>
    <row r="141" customFormat="false" ht="21.75" hidden="false" customHeight="true" outlineLevel="0" collapsed="false">
      <c r="A141" s="37"/>
      <c r="B141" s="37"/>
      <c r="C141" s="37"/>
      <c r="D141" s="37"/>
      <c r="E141" s="37"/>
      <c r="F141" s="40" t="str">
        <f aca="false">IF(E141="","",ROUND(E141*0.2,2))</f>
        <v/>
      </c>
      <c r="G141" s="40" t="str">
        <f aca="false">IF(E141="","",E141+F141)</f>
        <v/>
      </c>
      <c r="H141" s="37"/>
      <c r="I141" s="37"/>
      <c r="J141" s="37" t="str">
        <f aca="false">IF(A141="","",MONTH(A141))</f>
        <v/>
      </c>
      <c r="K141" s="37" t="str">
        <f aca="false">IF(A141="","",YEAR(A141))</f>
        <v/>
      </c>
      <c r="L141" s="37"/>
    </row>
    <row r="142" customFormat="false" ht="21.75" hidden="false" customHeight="true" outlineLevel="0" collapsed="false">
      <c r="A142" s="42"/>
      <c r="B142" s="42"/>
      <c r="C142" s="42"/>
      <c r="D142" s="42"/>
      <c r="E142" s="42"/>
      <c r="F142" s="45" t="str">
        <f aca="false">IF(E142="","",ROUND(E142*0.2,2))</f>
        <v/>
      </c>
      <c r="G142" s="45" t="str">
        <f aca="false">IF(E142="","",E142+F142)</f>
        <v/>
      </c>
      <c r="H142" s="42"/>
      <c r="I142" s="42"/>
      <c r="J142" s="42" t="str">
        <f aca="false">IF(A142="","",MONTH(A142))</f>
        <v/>
      </c>
      <c r="K142" s="42" t="str">
        <f aca="false">IF(A142="","",YEAR(A142))</f>
        <v/>
      </c>
      <c r="L142" s="42"/>
    </row>
    <row r="143" customFormat="false" ht="21.75" hidden="false" customHeight="true" outlineLevel="0" collapsed="false">
      <c r="A143" s="37"/>
      <c r="B143" s="37"/>
      <c r="C143" s="37"/>
      <c r="D143" s="37"/>
      <c r="E143" s="37"/>
      <c r="F143" s="40" t="str">
        <f aca="false">IF(E143="","",ROUND(E143*0.2,2))</f>
        <v/>
      </c>
      <c r="G143" s="40" t="str">
        <f aca="false">IF(E143="","",E143+F143)</f>
        <v/>
      </c>
      <c r="H143" s="37"/>
      <c r="I143" s="37"/>
      <c r="J143" s="37" t="str">
        <f aca="false">IF(A143="","",MONTH(A143))</f>
        <v/>
      </c>
      <c r="K143" s="37" t="str">
        <f aca="false">IF(A143="","",YEAR(A143))</f>
        <v/>
      </c>
      <c r="L143" s="37"/>
    </row>
    <row r="144" customFormat="false" ht="21.75" hidden="false" customHeight="true" outlineLevel="0" collapsed="false">
      <c r="A144" s="42"/>
      <c r="B144" s="42"/>
      <c r="C144" s="42"/>
      <c r="D144" s="42"/>
      <c r="E144" s="42"/>
      <c r="F144" s="45" t="str">
        <f aca="false">IF(E144="","",ROUND(E144*0.2,2))</f>
        <v/>
      </c>
      <c r="G144" s="45" t="str">
        <f aca="false">IF(E144="","",E144+F144)</f>
        <v/>
      </c>
      <c r="H144" s="42"/>
      <c r="I144" s="42"/>
      <c r="J144" s="42" t="str">
        <f aca="false">IF(A144="","",MONTH(A144))</f>
        <v/>
      </c>
      <c r="K144" s="42" t="str">
        <f aca="false">IF(A144="","",YEAR(A144))</f>
        <v/>
      </c>
      <c r="L144" s="42"/>
    </row>
    <row r="145" customFormat="false" ht="21.75" hidden="false" customHeight="true" outlineLevel="0" collapsed="false">
      <c r="A145" s="37"/>
      <c r="B145" s="37"/>
      <c r="C145" s="37"/>
      <c r="D145" s="37"/>
      <c r="E145" s="37"/>
      <c r="F145" s="40" t="str">
        <f aca="false">IF(E145="","",ROUND(E145*0.2,2))</f>
        <v/>
      </c>
      <c r="G145" s="40" t="str">
        <f aca="false">IF(E145="","",E145+F145)</f>
        <v/>
      </c>
      <c r="H145" s="37"/>
      <c r="I145" s="37"/>
      <c r="J145" s="37" t="str">
        <f aca="false">IF(A145="","",MONTH(A145))</f>
        <v/>
      </c>
      <c r="K145" s="37" t="str">
        <f aca="false">IF(A145="","",YEAR(A145))</f>
        <v/>
      </c>
      <c r="L145" s="37"/>
    </row>
    <row r="146" customFormat="false" ht="21.75" hidden="false" customHeight="true" outlineLevel="0" collapsed="false">
      <c r="A146" s="42"/>
      <c r="B146" s="42"/>
      <c r="C146" s="42"/>
      <c r="D146" s="42"/>
      <c r="E146" s="42"/>
      <c r="F146" s="45" t="str">
        <f aca="false">IF(E146="","",ROUND(E146*0.2,2))</f>
        <v/>
      </c>
      <c r="G146" s="45" t="str">
        <f aca="false">IF(E146="","",E146+F146)</f>
        <v/>
      </c>
      <c r="H146" s="42"/>
      <c r="I146" s="42"/>
      <c r="J146" s="42" t="str">
        <f aca="false">IF(A146="","",MONTH(A146))</f>
        <v/>
      </c>
      <c r="K146" s="42" t="str">
        <f aca="false">IF(A146="","",YEAR(A146))</f>
        <v/>
      </c>
      <c r="L146" s="42"/>
    </row>
    <row r="147" customFormat="false" ht="21.75" hidden="false" customHeight="true" outlineLevel="0" collapsed="false">
      <c r="A147" s="37"/>
      <c r="B147" s="37"/>
      <c r="C147" s="37"/>
      <c r="D147" s="37"/>
      <c r="E147" s="37"/>
      <c r="F147" s="40" t="str">
        <f aca="false">IF(E147="","",ROUND(E147*0.2,2))</f>
        <v/>
      </c>
      <c r="G147" s="40" t="str">
        <f aca="false">IF(E147="","",E147+F147)</f>
        <v/>
      </c>
      <c r="H147" s="37"/>
      <c r="I147" s="37"/>
      <c r="J147" s="37" t="str">
        <f aca="false">IF(A147="","",MONTH(A147))</f>
        <v/>
      </c>
      <c r="K147" s="37" t="str">
        <f aca="false">IF(A147="","",YEAR(A147))</f>
        <v/>
      </c>
      <c r="L147" s="37"/>
    </row>
    <row r="148" customFormat="false" ht="21.75" hidden="false" customHeight="true" outlineLevel="0" collapsed="false">
      <c r="A148" s="42"/>
      <c r="B148" s="42"/>
      <c r="C148" s="42"/>
      <c r="D148" s="42"/>
      <c r="E148" s="42"/>
      <c r="F148" s="45" t="str">
        <f aca="false">IF(E148="","",ROUND(E148*0.2,2))</f>
        <v/>
      </c>
      <c r="G148" s="45" t="str">
        <f aca="false">IF(E148="","",E148+F148)</f>
        <v/>
      </c>
      <c r="H148" s="42"/>
      <c r="I148" s="42"/>
      <c r="J148" s="42" t="str">
        <f aca="false">IF(A148="","",MONTH(A148))</f>
        <v/>
      </c>
      <c r="K148" s="42" t="str">
        <f aca="false">IF(A148="","",YEAR(A148))</f>
        <v/>
      </c>
      <c r="L148" s="42"/>
    </row>
    <row r="149" customFormat="false" ht="21.75" hidden="false" customHeight="true" outlineLevel="0" collapsed="false">
      <c r="A149" s="37"/>
      <c r="B149" s="37"/>
      <c r="C149" s="37"/>
      <c r="D149" s="37"/>
      <c r="E149" s="37"/>
      <c r="F149" s="40" t="str">
        <f aca="false">IF(E149="","",ROUND(E149*0.2,2))</f>
        <v/>
      </c>
      <c r="G149" s="40" t="str">
        <f aca="false">IF(E149="","",E149+F149)</f>
        <v/>
      </c>
      <c r="H149" s="37"/>
      <c r="I149" s="37"/>
      <c r="J149" s="37" t="str">
        <f aca="false">IF(A149="","",MONTH(A149))</f>
        <v/>
      </c>
      <c r="K149" s="37" t="str">
        <f aca="false">IF(A149="","",YEAR(A149))</f>
        <v/>
      </c>
      <c r="L149" s="37"/>
    </row>
    <row r="150" customFormat="false" ht="21.75" hidden="false" customHeight="true" outlineLevel="0" collapsed="false">
      <c r="A150" s="42"/>
      <c r="B150" s="42"/>
      <c r="C150" s="42"/>
      <c r="D150" s="42"/>
      <c r="E150" s="42"/>
      <c r="F150" s="45" t="str">
        <f aca="false">IF(E150="","",ROUND(E150*0.2,2))</f>
        <v/>
      </c>
      <c r="G150" s="45" t="str">
        <f aca="false">IF(E150="","",E150+F150)</f>
        <v/>
      </c>
      <c r="H150" s="42"/>
      <c r="I150" s="42"/>
      <c r="J150" s="42" t="str">
        <f aca="false">IF(A150="","",MONTH(A150))</f>
        <v/>
      </c>
      <c r="K150" s="42" t="str">
        <f aca="false">IF(A150="","",YEAR(A150))</f>
        <v/>
      </c>
      <c r="L150" s="42"/>
    </row>
    <row r="151" customFormat="false" ht="21.75" hidden="false" customHeight="true" outlineLevel="0" collapsed="false">
      <c r="A151" s="37"/>
      <c r="B151" s="37"/>
      <c r="C151" s="37"/>
      <c r="D151" s="37"/>
      <c r="E151" s="37"/>
      <c r="F151" s="40" t="str">
        <f aca="false">IF(E151="","",ROUND(E151*0.2,2))</f>
        <v/>
      </c>
      <c r="G151" s="40" t="str">
        <f aca="false">IF(E151="","",E151+F151)</f>
        <v/>
      </c>
      <c r="H151" s="37"/>
      <c r="I151" s="37"/>
      <c r="J151" s="37" t="str">
        <f aca="false">IF(A151="","",MONTH(A151))</f>
        <v/>
      </c>
      <c r="K151" s="37" t="str">
        <f aca="false">IF(A151="","",YEAR(A151))</f>
        <v/>
      </c>
      <c r="L151" s="37"/>
    </row>
    <row r="152" customFormat="false" ht="21.75" hidden="false" customHeight="true" outlineLevel="0" collapsed="false">
      <c r="A152" s="42"/>
      <c r="B152" s="42"/>
      <c r="C152" s="42"/>
      <c r="D152" s="42"/>
      <c r="E152" s="42"/>
      <c r="F152" s="45" t="str">
        <f aca="false">IF(E152="","",ROUND(E152*0.2,2))</f>
        <v/>
      </c>
      <c r="G152" s="45" t="str">
        <f aca="false">IF(E152="","",E152+F152)</f>
        <v/>
      </c>
      <c r="H152" s="42"/>
      <c r="I152" s="42"/>
      <c r="J152" s="42" t="str">
        <f aca="false">IF(A152="","",MONTH(A152))</f>
        <v/>
      </c>
      <c r="K152" s="42" t="str">
        <f aca="false">IF(A152="","",YEAR(A152))</f>
        <v/>
      </c>
      <c r="L152" s="42"/>
    </row>
    <row r="153" customFormat="false" ht="21.75" hidden="false" customHeight="true" outlineLevel="0" collapsed="false">
      <c r="A153" s="37"/>
      <c r="B153" s="37"/>
      <c r="C153" s="37"/>
      <c r="D153" s="37"/>
      <c r="E153" s="37"/>
      <c r="F153" s="40" t="str">
        <f aca="false">IF(E153="","",ROUND(E153*0.2,2))</f>
        <v/>
      </c>
      <c r="G153" s="40" t="str">
        <f aca="false">IF(E153="","",E153+F153)</f>
        <v/>
      </c>
      <c r="H153" s="37"/>
      <c r="I153" s="37"/>
      <c r="J153" s="37" t="str">
        <f aca="false">IF(A153="","",MONTH(A153))</f>
        <v/>
      </c>
      <c r="K153" s="37" t="str">
        <f aca="false">IF(A153="","",YEAR(A153))</f>
        <v/>
      </c>
      <c r="L153" s="37"/>
    </row>
    <row r="154" customFormat="false" ht="21.75" hidden="false" customHeight="true" outlineLevel="0" collapsed="false">
      <c r="A154" s="42"/>
      <c r="B154" s="42"/>
      <c r="C154" s="42"/>
      <c r="D154" s="42"/>
      <c r="E154" s="42"/>
      <c r="F154" s="45" t="str">
        <f aca="false">IF(E154="","",ROUND(E154*0.2,2))</f>
        <v/>
      </c>
      <c r="G154" s="45" t="str">
        <f aca="false">IF(E154="","",E154+F154)</f>
        <v/>
      </c>
      <c r="H154" s="42"/>
      <c r="I154" s="42"/>
      <c r="J154" s="42" t="str">
        <f aca="false">IF(A154="","",MONTH(A154))</f>
        <v/>
      </c>
      <c r="K154" s="42" t="str">
        <f aca="false">IF(A154="","",YEAR(A154))</f>
        <v/>
      </c>
      <c r="L154" s="42"/>
    </row>
    <row r="155" customFormat="false" ht="21.75" hidden="false" customHeight="true" outlineLevel="0" collapsed="false">
      <c r="A155" s="37"/>
      <c r="B155" s="37"/>
      <c r="C155" s="37"/>
      <c r="D155" s="37"/>
      <c r="E155" s="37"/>
      <c r="F155" s="40" t="str">
        <f aca="false">IF(E155="","",ROUND(E155*0.2,2))</f>
        <v/>
      </c>
      <c r="G155" s="40" t="str">
        <f aca="false">IF(E155="","",E155+F155)</f>
        <v/>
      </c>
      <c r="H155" s="37"/>
      <c r="I155" s="37"/>
      <c r="J155" s="37" t="str">
        <f aca="false">IF(A155="","",MONTH(A155))</f>
        <v/>
      </c>
      <c r="K155" s="37" t="str">
        <f aca="false">IF(A155="","",YEAR(A155))</f>
        <v/>
      </c>
      <c r="L155" s="37"/>
    </row>
    <row r="156" customFormat="false" ht="21.75" hidden="false" customHeight="true" outlineLevel="0" collapsed="false">
      <c r="A156" s="42"/>
      <c r="B156" s="42"/>
      <c r="C156" s="42"/>
      <c r="D156" s="42"/>
      <c r="E156" s="42"/>
      <c r="F156" s="45" t="str">
        <f aca="false">IF(E156="","",ROUND(E156*0.2,2))</f>
        <v/>
      </c>
      <c r="G156" s="45" t="str">
        <f aca="false">IF(E156="","",E156+F156)</f>
        <v/>
      </c>
      <c r="H156" s="42"/>
      <c r="I156" s="42"/>
      <c r="J156" s="42" t="str">
        <f aca="false">IF(A156="","",MONTH(A156))</f>
        <v/>
      </c>
      <c r="K156" s="42" t="str">
        <f aca="false">IF(A156="","",YEAR(A156))</f>
        <v/>
      </c>
      <c r="L156" s="42"/>
    </row>
    <row r="157" customFormat="false" ht="21.75" hidden="false" customHeight="true" outlineLevel="0" collapsed="false">
      <c r="A157" s="37"/>
      <c r="B157" s="37"/>
      <c r="C157" s="37"/>
      <c r="D157" s="37"/>
      <c r="E157" s="37"/>
      <c r="F157" s="40" t="str">
        <f aca="false">IF(E157="","",ROUND(E157*0.2,2))</f>
        <v/>
      </c>
      <c r="G157" s="40" t="str">
        <f aca="false">IF(E157="","",E157+F157)</f>
        <v/>
      </c>
      <c r="H157" s="37"/>
      <c r="I157" s="37"/>
      <c r="J157" s="37" t="str">
        <f aca="false">IF(A157="","",MONTH(A157))</f>
        <v/>
      </c>
      <c r="K157" s="37" t="str">
        <f aca="false">IF(A157="","",YEAR(A157))</f>
        <v/>
      </c>
      <c r="L157" s="37"/>
    </row>
    <row r="158" customFormat="false" ht="21.75" hidden="false" customHeight="true" outlineLevel="0" collapsed="false">
      <c r="A158" s="42"/>
      <c r="B158" s="42"/>
      <c r="C158" s="42"/>
      <c r="D158" s="42"/>
      <c r="E158" s="42"/>
      <c r="F158" s="45" t="str">
        <f aca="false">IF(E158="","",ROUND(E158*0.2,2))</f>
        <v/>
      </c>
      <c r="G158" s="45" t="str">
        <f aca="false">IF(E158="","",E158+F158)</f>
        <v/>
      </c>
      <c r="H158" s="42"/>
      <c r="I158" s="42"/>
      <c r="J158" s="42" t="str">
        <f aca="false">IF(A158="","",MONTH(A158))</f>
        <v/>
      </c>
      <c r="K158" s="42" t="str">
        <f aca="false">IF(A158="","",YEAR(A158))</f>
        <v/>
      </c>
      <c r="L158" s="42"/>
    </row>
    <row r="159" customFormat="false" ht="21.75" hidden="false" customHeight="true" outlineLevel="0" collapsed="false">
      <c r="A159" s="37"/>
      <c r="B159" s="37"/>
      <c r="C159" s="37"/>
      <c r="D159" s="37"/>
      <c r="E159" s="37"/>
      <c r="F159" s="40" t="str">
        <f aca="false">IF(E159="","",ROUND(E159*0.2,2))</f>
        <v/>
      </c>
      <c r="G159" s="40" t="str">
        <f aca="false">IF(E159="","",E159+F159)</f>
        <v/>
      </c>
      <c r="H159" s="37"/>
      <c r="I159" s="37"/>
      <c r="J159" s="37" t="str">
        <f aca="false">IF(A159="","",MONTH(A159))</f>
        <v/>
      </c>
      <c r="K159" s="37" t="str">
        <f aca="false">IF(A159="","",YEAR(A159))</f>
        <v/>
      </c>
      <c r="L159" s="37"/>
    </row>
    <row r="160" customFormat="false" ht="21.75" hidden="false" customHeight="true" outlineLevel="0" collapsed="false">
      <c r="A160" s="42"/>
      <c r="B160" s="42"/>
      <c r="C160" s="42"/>
      <c r="D160" s="42"/>
      <c r="E160" s="42"/>
      <c r="F160" s="45" t="str">
        <f aca="false">IF(E160="","",ROUND(E160*0.2,2))</f>
        <v/>
      </c>
      <c r="G160" s="45" t="str">
        <f aca="false">IF(E160="","",E160+F160)</f>
        <v/>
      </c>
      <c r="H160" s="42"/>
      <c r="I160" s="42"/>
      <c r="J160" s="42" t="str">
        <f aca="false">IF(A160="","",MONTH(A160))</f>
        <v/>
      </c>
      <c r="K160" s="42" t="str">
        <f aca="false">IF(A160="","",YEAR(A160))</f>
        <v/>
      </c>
      <c r="L160" s="42"/>
    </row>
    <row r="161" customFormat="false" ht="21.75" hidden="false" customHeight="true" outlineLevel="0" collapsed="false">
      <c r="A161" s="37"/>
      <c r="B161" s="37"/>
      <c r="C161" s="37"/>
      <c r="D161" s="37"/>
      <c r="E161" s="37"/>
      <c r="F161" s="40" t="str">
        <f aca="false">IF(E161="","",ROUND(E161*0.2,2))</f>
        <v/>
      </c>
      <c r="G161" s="40" t="str">
        <f aca="false">IF(E161="","",E161+F161)</f>
        <v/>
      </c>
      <c r="H161" s="37"/>
      <c r="I161" s="37"/>
      <c r="J161" s="37" t="str">
        <f aca="false">IF(A161="","",MONTH(A161))</f>
        <v/>
      </c>
      <c r="K161" s="37" t="str">
        <f aca="false">IF(A161="","",YEAR(A161))</f>
        <v/>
      </c>
      <c r="L161" s="37"/>
    </row>
    <row r="162" customFormat="false" ht="21.75" hidden="false" customHeight="true" outlineLevel="0" collapsed="false">
      <c r="A162" s="42"/>
      <c r="B162" s="42"/>
      <c r="C162" s="42"/>
      <c r="D162" s="42"/>
      <c r="E162" s="42"/>
      <c r="F162" s="45" t="str">
        <f aca="false">IF(E162="","",ROUND(E162*0.2,2))</f>
        <v/>
      </c>
      <c r="G162" s="45" t="str">
        <f aca="false">IF(E162="","",E162+F162)</f>
        <v/>
      </c>
      <c r="H162" s="42"/>
      <c r="I162" s="42"/>
      <c r="J162" s="42" t="str">
        <f aca="false">IF(A162="","",MONTH(A162))</f>
        <v/>
      </c>
      <c r="K162" s="42" t="str">
        <f aca="false">IF(A162="","",YEAR(A162))</f>
        <v/>
      </c>
      <c r="L162" s="42"/>
    </row>
    <row r="163" customFormat="false" ht="21.75" hidden="false" customHeight="true" outlineLevel="0" collapsed="false">
      <c r="A163" s="37"/>
      <c r="B163" s="37"/>
      <c r="C163" s="37"/>
      <c r="D163" s="37"/>
      <c r="E163" s="37"/>
      <c r="F163" s="40" t="str">
        <f aca="false">IF(E163="","",ROUND(E163*0.2,2))</f>
        <v/>
      </c>
      <c r="G163" s="40" t="str">
        <f aca="false">IF(E163="","",E163+F163)</f>
        <v/>
      </c>
      <c r="H163" s="37"/>
      <c r="I163" s="37"/>
      <c r="J163" s="37" t="str">
        <f aca="false">IF(A163="","",MONTH(A163))</f>
        <v/>
      </c>
      <c r="K163" s="37" t="str">
        <f aca="false">IF(A163="","",YEAR(A163))</f>
        <v/>
      </c>
      <c r="L163" s="37"/>
    </row>
    <row r="164" customFormat="false" ht="21.75" hidden="false" customHeight="true" outlineLevel="0" collapsed="false">
      <c r="A164" s="42"/>
      <c r="B164" s="42"/>
      <c r="C164" s="42"/>
      <c r="D164" s="42"/>
      <c r="E164" s="42"/>
      <c r="F164" s="45" t="str">
        <f aca="false">IF(E164="","",ROUND(E164*0.2,2))</f>
        <v/>
      </c>
      <c r="G164" s="45" t="str">
        <f aca="false">IF(E164="","",E164+F164)</f>
        <v/>
      </c>
      <c r="H164" s="42"/>
      <c r="I164" s="42"/>
      <c r="J164" s="42" t="str">
        <f aca="false">IF(A164="","",MONTH(A164))</f>
        <v/>
      </c>
      <c r="K164" s="42" t="str">
        <f aca="false">IF(A164="","",YEAR(A164))</f>
        <v/>
      </c>
      <c r="L164" s="42"/>
    </row>
    <row r="165" customFormat="false" ht="21.75" hidden="false" customHeight="true" outlineLevel="0" collapsed="false">
      <c r="A165" s="37"/>
      <c r="B165" s="37"/>
      <c r="C165" s="37"/>
      <c r="D165" s="37"/>
      <c r="E165" s="37"/>
      <c r="F165" s="40" t="str">
        <f aca="false">IF(E165="","",ROUND(E165*0.2,2))</f>
        <v/>
      </c>
      <c r="G165" s="40" t="str">
        <f aca="false">IF(E165="","",E165+F165)</f>
        <v/>
      </c>
      <c r="H165" s="37"/>
      <c r="I165" s="37"/>
      <c r="J165" s="37" t="str">
        <f aca="false">IF(A165="","",MONTH(A165))</f>
        <v/>
      </c>
      <c r="K165" s="37" t="str">
        <f aca="false">IF(A165="","",YEAR(A165))</f>
        <v/>
      </c>
      <c r="L165" s="37"/>
    </row>
    <row r="166" customFormat="false" ht="21.75" hidden="false" customHeight="true" outlineLevel="0" collapsed="false">
      <c r="A166" s="42"/>
      <c r="B166" s="42"/>
      <c r="C166" s="42"/>
      <c r="D166" s="42"/>
      <c r="E166" s="42"/>
      <c r="F166" s="45" t="str">
        <f aca="false">IF(E166="","",ROUND(E166*0.2,2))</f>
        <v/>
      </c>
      <c r="G166" s="45" t="str">
        <f aca="false">IF(E166="","",E166+F166)</f>
        <v/>
      </c>
      <c r="H166" s="42"/>
      <c r="I166" s="42"/>
      <c r="J166" s="42" t="str">
        <f aca="false">IF(A166="","",MONTH(A166))</f>
        <v/>
      </c>
      <c r="K166" s="42" t="str">
        <f aca="false">IF(A166="","",YEAR(A166))</f>
        <v/>
      </c>
      <c r="L166" s="42"/>
    </row>
    <row r="167" customFormat="false" ht="21.75" hidden="false" customHeight="true" outlineLevel="0" collapsed="false">
      <c r="A167" s="37"/>
      <c r="B167" s="37"/>
      <c r="C167" s="37"/>
      <c r="D167" s="37"/>
      <c r="E167" s="37"/>
      <c r="F167" s="40" t="str">
        <f aca="false">IF(E167="","",ROUND(E167*0.2,2))</f>
        <v/>
      </c>
      <c r="G167" s="40" t="str">
        <f aca="false">IF(E167="","",E167+F167)</f>
        <v/>
      </c>
      <c r="H167" s="37"/>
      <c r="I167" s="37"/>
      <c r="J167" s="37" t="str">
        <f aca="false">IF(A167="","",MONTH(A167))</f>
        <v/>
      </c>
      <c r="K167" s="37" t="str">
        <f aca="false">IF(A167="","",YEAR(A167))</f>
        <v/>
      </c>
      <c r="L167" s="37"/>
    </row>
    <row r="168" customFormat="false" ht="21.75" hidden="false" customHeight="true" outlineLevel="0" collapsed="false">
      <c r="A168" s="42"/>
      <c r="B168" s="42"/>
      <c r="C168" s="42"/>
      <c r="D168" s="42"/>
      <c r="E168" s="42"/>
      <c r="F168" s="45" t="str">
        <f aca="false">IF(E168="","",ROUND(E168*0.2,2))</f>
        <v/>
      </c>
      <c r="G168" s="45" t="str">
        <f aca="false">IF(E168="","",E168+F168)</f>
        <v/>
      </c>
      <c r="H168" s="42"/>
      <c r="I168" s="42"/>
      <c r="J168" s="42" t="str">
        <f aca="false">IF(A168="","",MONTH(A168))</f>
        <v/>
      </c>
      <c r="K168" s="42" t="str">
        <f aca="false">IF(A168="","",YEAR(A168))</f>
        <v/>
      </c>
      <c r="L168" s="42"/>
    </row>
    <row r="169" customFormat="false" ht="21.75" hidden="false" customHeight="true" outlineLevel="0" collapsed="false">
      <c r="A169" s="37"/>
      <c r="B169" s="37"/>
      <c r="C169" s="37"/>
      <c r="D169" s="37"/>
      <c r="E169" s="37"/>
      <c r="F169" s="40" t="str">
        <f aca="false">IF(E169="","",ROUND(E169*0.2,2))</f>
        <v/>
      </c>
      <c r="G169" s="40" t="str">
        <f aca="false">IF(E169="","",E169+F169)</f>
        <v/>
      </c>
      <c r="H169" s="37"/>
      <c r="I169" s="37"/>
      <c r="J169" s="37" t="str">
        <f aca="false">IF(A169="","",MONTH(A169))</f>
        <v/>
      </c>
      <c r="K169" s="37" t="str">
        <f aca="false">IF(A169="","",YEAR(A169))</f>
        <v/>
      </c>
      <c r="L169" s="37"/>
    </row>
    <row r="170" customFormat="false" ht="21.75" hidden="false" customHeight="true" outlineLevel="0" collapsed="false">
      <c r="A170" s="42"/>
      <c r="B170" s="42"/>
      <c r="C170" s="42"/>
      <c r="D170" s="42"/>
      <c r="E170" s="42"/>
      <c r="F170" s="45" t="str">
        <f aca="false">IF(E170="","",ROUND(E170*0.2,2))</f>
        <v/>
      </c>
      <c r="G170" s="45" t="str">
        <f aca="false">IF(E170="","",E170+F170)</f>
        <v/>
      </c>
      <c r="H170" s="42"/>
      <c r="I170" s="42"/>
      <c r="J170" s="42" t="str">
        <f aca="false">IF(A170="","",MONTH(A170))</f>
        <v/>
      </c>
      <c r="K170" s="42" t="str">
        <f aca="false">IF(A170="","",YEAR(A170))</f>
        <v/>
      </c>
      <c r="L170" s="42"/>
    </row>
    <row r="171" customFormat="false" ht="21.75" hidden="false" customHeight="true" outlineLevel="0" collapsed="false">
      <c r="A171" s="37"/>
      <c r="B171" s="37"/>
      <c r="C171" s="37"/>
      <c r="D171" s="37"/>
      <c r="E171" s="37"/>
      <c r="F171" s="40" t="str">
        <f aca="false">IF(E171="","",ROUND(E171*0.2,2))</f>
        <v/>
      </c>
      <c r="G171" s="40" t="str">
        <f aca="false">IF(E171="","",E171+F171)</f>
        <v/>
      </c>
      <c r="H171" s="37"/>
      <c r="I171" s="37"/>
      <c r="J171" s="37" t="str">
        <f aca="false">IF(A171="","",MONTH(A171))</f>
        <v/>
      </c>
      <c r="K171" s="37" t="str">
        <f aca="false">IF(A171="","",YEAR(A171))</f>
        <v/>
      </c>
      <c r="L171" s="37"/>
    </row>
    <row r="172" customFormat="false" ht="21.75" hidden="false" customHeight="true" outlineLevel="0" collapsed="false">
      <c r="A172" s="42"/>
      <c r="B172" s="42"/>
      <c r="C172" s="42"/>
      <c r="D172" s="42"/>
      <c r="E172" s="42"/>
      <c r="F172" s="45" t="str">
        <f aca="false">IF(E172="","",ROUND(E172*0.2,2))</f>
        <v/>
      </c>
      <c r="G172" s="45" t="str">
        <f aca="false">IF(E172="","",E172+F172)</f>
        <v/>
      </c>
      <c r="H172" s="42"/>
      <c r="I172" s="42"/>
      <c r="J172" s="42" t="str">
        <f aca="false">IF(A172="","",MONTH(A172))</f>
        <v/>
      </c>
      <c r="K172" s="42" t="str">
        <f aca="false">IF(A172="","",YEAR(A172))</f>
        <v/>
      </c>
      <c r="L172" s="42"/>
    </row>
    <row r="173" customFormat="false" ht="21.75" hidden="false" customHeight="true" outlineLevel="0" collapsed="false">
      <c r="A173" s="37"/>
      <c r="B173" s="37"/>
      <c r="C173" s="37"/>
      <c r="D173" s="37"/>
      <c r="E173" s="37"/>
      <c r="F173" s="40" t="str">
        <f aca="false">IF(E173="","",ROUND(E173*0.2,2))</f>
        <v/>
      </c>
      <c r="G173" s="40" t="str">
        <f aca="false">IF(E173="","",E173+F173)</f>
        <v/>
      </c>
      <c r="H173" s="37"/>
      <c r="I173" s="37"/>
      <c r="J173" s="37" t="str">
        <f aca="false">IF(A173="","",MONTH(A173))</f>
        <v/>
      </c>
      <c r="K173" s="37" t="str">
        <f aca="false">IF(A173="","",YEAR(A173))</f>
        <v/>
      </c>
      <c r="L173" s="37"/>
    </row>
    <row r="174" customFormat="false" ht="21.75" hidden="false" customHeight="true" outlineLevel="0" collapsed="false">
      <c r="A174" s="42"/>
      <c r="B174" s="42"/>
      <c r="C174" s="42"/>
      <c r="D174" s="42"/>
      <c r="E174" s="42"/>
      <c r="F174" s="45" t="str">
        <f aca="false">IF(E174="","",ROUND(E174*0.2,2))</f>
        <v/>
      </c>
      <c r="G174" s="45" t="str">
        <f aca="false">IF(E174="","",E174+F174)</f>
        <v/>
      </c>
      <c r="H174" s="42"/>
      <c r="I174" s="42"/>
      <c r="J174" s="42" t="str">
        <f aca="false">IF(A174="","",MONTH(A174))</f>
        <v/>
      </c>
      <c r="K174" s="42" t="str">
        <f aca="false">IF(A174="","",YEAR(A174))</f>
        <v/>
      </c>
      <c r="L174" s="42"/>
    </row>
    <row r="175" customFormat="false" ht="21.75" hidden="false" customHeight="true" outlineLevel="0" collapsed="false">
      <c r="A175" s="37"/>
      <c r="B175" s="37"/>
      <c r="C175" s="37"/>
      <c r="D175" s="37"/>
      <c r="E175" s="37"/>
      <c r="F175" s="40" t="str">
        <f aca="false">IF(E175="","",ROUND(E175*0.2,2))</f>
        <v/>
      </c>
      <c r="G175" s="40" t="str">
        <f aca="false">IF(E175="","",E175+F175)</f>
        <v/>
      </c>
      <c r="H175" s="37"/>
      <c r="I175" s="37"/>
      <c r="J175" s="37" t="str">
        <f aca="false">IF(A175="","",MONTH(A175))</f>
        <v/>
      </c>
      <c r="K175" s="37" t="str">
        <f aca="false">IF(A175="","",YEAR(A175))</f>
        <v/>
      </c>
      <c r="L175" s="37"/>
    </row>
    <row r="176" customFormat="false" ht="21.75" hidden="false" customHeight="true" outlineLevel="0" collapsed="false">
      <c r="A176" s="42"/>
      <c r="B176" s="42"/>
      <c r="C176" s="42"/>
      <c r="D176" s="42"/>
      <c r="E176" s="42"/>
      <c r="F176" s="45" t="str">
        <f aca="false">IF(E176="","",ROUND(E176*0.2,2))</f>
        <v/>
      </c>
      <c r="G176" s="45" t="str">
        <f aca="false">IF(E176="","",E176+F176)</f>
        <v/>
      </c>
      <c r="H176" s="42"/>
      <c r="I176" s="42"/>
      <c r="J176" s="42" t="str">
        <f aca="false">IF(A176="","",MONTH(A176))</f>
        <v/>
      </c>
      <c r="K176" s="42" t="str">
        <f aca="false">IF(A176="","",YEAR(A176))</f>
        <v/>
      </c>
      <c r="L176" s="42"/>
    </row>
    <row r="177" customFormat="false" ht="21.75" hidden="false" customHeight="true" outlineLevel="0" collapsed="false">
      <c r="A177" s="37"/>
      <c r="B177" s="37"/>
      <c r="C177" s="37"/>
      <c r="D177" s="37"/>
      <c r="E177" s="37"/>
      <c r="F177" s="40" t="str">
        <f aca="false">IF(E177="","",ROUND(E177*0.2,2))</f>
        <v/>
      </c>
      <c r="G177" s="40" t="str">
        <f aca="false">IF(E177="","",E177+F177)</f>
        <v/>
      </c>
      <c r="H177" s="37"/>
      <c r="I177" s="37"/>
      <c r="J177" s="37" t="str">
        <f aca="false">IF(A177="","",MONTH(A177))</f>
        <v/>
      </c>
      <c r="K177" s="37" t="str">
        <f aca="false">IF(A177="","",YEAR(A177))</f>
        <v/>
      </c>
      <c r="L177" s="37"/>
    </row>
    <row r="178" customFormat="false" ht="21.75" hidden="false" customHeight="true" outlineLevel="0" collapsed="false">
      <c r="A178" s="42"/>
      <c r="B178" s="42"/>
      <c r="C178" s="42"/>
      <c r="D178" s="42"/>
      <c r="E178" s="42"/>
      <c r="F178" s="45" t="str">
        <f aca="false">IF(E178="","",ROUND(E178*0.2,2))</f>
        <v/>
      </c>
      <c r="G178" s="45" t="str">
        <f aca="false">IF(E178="","",E178+F178)</f>
        <v/>
      </c>
      <c r="H178" s="42"/>
      <c r="I178" s="42"/>
      <c r="J178" s="42" t="str">
        <f aca="false">IF(A178="","",MONTH(A178))</f>
        <v/>
      </c>
      <c r="K178" s="42" t="str">
        <f aca="false">IF(A178="","",YEAR(A178))</f>
        <v/>
      </c>
      <c r="L178" s="42"/>
    </row>
    <row r="179" customFormat="false" ht="21.75" hidden="false" customHeight="true" outlineLevel="0" collapsed="false">
      <c r="A179" s="37"/>
      <c r="B179" s="37"/>
      <c r="C179" s="37"/>
      <c r="D179" s="37"/>
      <c r="E179" s="37"/>
      <c r="F179" s="40" t="str">
        <f aca="false">IF(E179="","",ROUND(E179*0.2,2))</f>
        <v/>
      </c>
      <c r="G179" s="40" t="str">
        <f aca="false">IF(E179="","",E179+F179)</f>
        <v/>
      </c>
      <c r="H179" s="37"/>
      <c r="I179" s="37"/>
      <c r="J179" s="37" t="str">
        <f aca="false">IF(A179="","",MONTH(A179))</f>
        <v/>
      </c>
      <c r="K179" s="37" t="str">
        <f aca="false">IF(A179="","",YEAR(A179))</f>
        <v/>
      </c>
      <c r="L179" s="37"/>
    </row>
    <row r="180" customFormat="false" ht="21.75" hidden="false" customHeight="true" outlineLevel="0" collapsed="false">
      <c r="A180" s="42"/>
      <c r="B180" s="42"/>
      <c r="C180" s="42"/>
      <c r="D180" s="42"/>
      <c r="E180" s="42"/>
      <c r="F180" s="45" t="str">
        <f aca="false">IF(E180="","",ROUND(E180*0.2,2))</f>
        <v/>
      </c>
      <c r="G180" s="45" t="str">
        <f aca="false">IF(E180="","",E180+F180)</f>
        <v/>
      </c>
      <c r="H180" s="42"/>
      <c r="I180" s="42"/>
      <c r="J180" s="42" t="str">
        <f aca="false">IF(A180="","",MONTH(A180))</f>
        <v/>
      </c>
      <c r="K180" s="42" t="str">
        <f aca="false">IF(A180="","",YEAR(A180))</f>
        <v/>
      </c>
      <c r="L180" s="42"/>
    </row>
    <row r="181" customFormat="false" ht="21.75" hidden="false" customHeight="true" outlineLevel="0" collapsed="false">
      <c r="A181" s="37"/>
      <c r="B181" s="37"/>
      <c r="C181" s="37"/>
      <c r="D181" s="37"/>
      <c r="E181" s="37"/>
      <c r="F181" s="40" t="str">
        <f aca="false">IF(E181="","",ROUND(E181*0.2,2))</f>
        <v/>
      </c>
      <c r="G181" s="40" t="str">
        <f aca="false">IF(E181="","",E181+F181)</f>
        <v/>
      </c>
      <c r="H181" s="37"/>
      <c r="I181" s="37"/>
      <c r="J181" s="37" t="str">
        <f aca="false">IF(A181="","",MONTH(A181))</f>
        <v/>
      </c>
      <c r="K181" s="37" t="str">
        <f aca="false">IF(A181="","",YEAR(A181))</f>
        <v/>
      </c>
      <c r="L181" s="37"/>
    </row>
    <row r="182" customFormat="false" ht="21.75" hidden="false" customHeight="true" outlineLevel="0" collapsed="false">
      <c r="A182" s="42"/>
      <c r="B182" s="42"/>
      <c r="C182" s="42"/>
      <c r="D182" s="42"/>
      <c r="E182" s="42"/>
      <c r="F182" s="45" t="str">
        <f aca="false">IF(E182="","",ROUND(E182*0.2,2))</f>
        <v/>
      </c>
      <c r="G182" s="45" t="str">
        <f aca="false">IF(E182="","",E182+F182)</f>
        <v/>
      </c>
      <c r="H182" s="42"/>
      <c r="I182" s="42"/>
      <c r="J182" s="42" t="str">
        <f aca="false">IF(A182="","",MONTH(A182))</f>
        <v/>
      </c>
      <c r="K182" s="42" t="str">
        <f aca="false">IF(A182="","",YEAR(A182))</f>
        <v/>
      </c>
      <c r="L182" s="42"/>
    </row>
    <row r="183" customFormat="false" ht="21.75" hidden="false" customHeight="true" outlineLevel="0" collapsed="false">
      <c r="A183" s="37"/>
      <c r="B183" s="37"/>
      <c r="C183" s="37"/>
      <c r="D183" s="37"/>
      <c r="E183" s="37"/>
      <c r="F183" s="40" t="str">
        <f aca="false">IF(E183="","",ROUND(E183*0.2,2))</f>
        <v/>
      </c>
      <c r="G183" s="40" t="str">
        <f aca="false">IF(E183="","",E183+F183)</f>
        <v/>
      </c>
      <c r="H183" s="37"/>
      <c r="I183" s="37"/>
      <c r="J183" s="37" t="str">
        <f aca="false">IF(A183="","",MONTH(A183))</f>
        <v/>
      </c>
      <c r="K183" s="37" t="str">
        <f aca="false">IF(A183="","",YEAR(A183))</f>
        <v/>
      </c>
      <c r="L183" s="37"/>
    </row>
    <row r="184" customFormat="false" ht="21.75" hidden="false" customHeight="true" outlineLevel="0" collapsed="false">
      <c r="A184" s="42"/>
      <c r="B184" s="42"/>
      <c r="C184" s="42"/>
      <c r="D184" s="42"/>
      <c r="E184" s="42"/>
      <c r="F184" s="45" t="str">
        <f aca="false">IF(E184="","",ROUND(E184*0.2,2))</f>
        <v/>
      </c>
      <c r="G184" s="45" t="str">
        <f aca="false">IF(E184="","",E184+F184)</f>
        <v/>
      </c>
      <c r="H184" s="42"/>
      <c r="I184" s="42"/>
      <c r="J184" s="42" t="str">
        <f aca="false">IF(A184="","",MONTH(A184))</f>
        <v/>
      </c>
      <c r="K184" s="42" t="str">
        <f aca="false">IF(A184="","",YEAR(A184))</f>
        <v/>
      </c>
      <c r="L184" s="42"/>
    </row>
    <row r="185" customFormat="false" ht="21.75" hidden="false" customHeight="true" outlineLevel="0" collapsed="false">
      <c r="A185" s="37"/>
      <c r="B185" s="37"/>
      <c r="C185" s="37"/>
      <c r="D185" s="37"/>
      <c r="E185" s="37"/>
      <c r="F185" s="40" t="str">
        <f aca="false">IF(E185="","",ROUND(E185*0.2,2))</f>
        <v/>
      </c>
      <c r="G185" s="40" t="str">
        <f aca="false">IF(E185="","",E185+F185)</f>
        <v/>
      </c>
      <c r="H185" s="37"/>
      <c r="I185" s="37"/>
      <c r="J185" s="37" t="str">
        <f aca="false">IF(A185="","",MONTH(A185))</f>
        <v/>
      </c>
      <c r="K185" s="37" t="str">
        <f aca="false">IF(A185="","",YEAR(A185))</f>
        <v/>
      </c>
      <c r="L185" s="37"/>
    </row>
    <row r="186" customFormat="false" ht="21.75" hidden="false" customHeight="true" outlineLevel="0" collapsed="false">
      <c r="A186" s="42"/>
      <c r="B186" s="42"/>
      <c r="C186" s="42"/>
      <c r="D186" s="42"/>
      <c r="E186" s="42"/>
      <c r="F186" s="45" t="str">
        <f aca="false">IF(E186="","",ROUND(E186*0.2,2))</f>
        <v/>
      </c>
      <c r="G186" s="45" t="str">
        <f aca="false">IF(E186="","",E186+F186)</f>
        <v/>
      </c>
      <c r="H186" s="42"/>
      <c r="I186" s="42"/>
      <c r="J186" s="42" t="str">
        <f aca="false">IF(A186="","",MONTH(A186))</f>
        <v/>
      </c>
      <c r="K186" s="42" t="str">
        <f aca="false">IF(A186="","",YEAR(A186))</f>
        <v/>
      </c>
      <c r="L186" s="42"/>
    </row>
    <row r="187" customFormat="false" ht="21.75" hidden="false" customHeight="true" outlineLevel="0" collapsed="false">
      <c r="A187" s="37"/>
      <c r="B187" s="37"/>
      <c r="C187" s="37"/>
      <c r="D187" s="37"/>
      <c r="E187" s="37"/>
      <c r="F187" s="40" t="str">
        <f aca="false">IF(E187="","",ROUND(E187*0.2,2))</f>
        <v/>
      </c>
      <c r="G187" s="40" t="str">
        <f aca="false">IF(E187="","",E187+F187)</f>
        <v/>
      </c>
      <c r="H187" s="37"/>
      <c r="I187" s="37"/>
      <c r="J187" s="37" t="str">
        <f aca="false">IF(A187="","",MONTH(A187))</f>
        <v/>
      </c>
      <c r="K187" s="37" t="str">
        <f aca="false">IF(A187="","",YEAR(A187))</f>
        <v/>
      </c>
      <c r="L187" s="37"/>
    </row>
    <row r="188" customFormat="false" ht="21.75" hidden="false" customHeight="true" outlineLevel="0" collapsed="false">
      <c r="A188" s="42"/>
      <c r="B188" s="42"/>
      <c r="C188" s="42"/>
      <c r="D188" s="42"/>
      <c r="E188" s="42"/>
      <c r="F188" s="45" t="str">
        <f aca="false">IF(E188="","",ROUND(E188*0.2,2))</f>
        <v/>
      </c>
      <c r="G188" s="45" t="str">
        <f aca="false">IF(E188="","",E188+F188)</f>
        <v/>
      </c>
      <c r="H188" s="42"/>
      <c r="I188" s="42"/>
      <c r="J188" s="42" t="str">
        <f aca="false">IF(A188="","",MONTH(A188))</f>
        <v/>
      </c>
      <c r="K188" s="42" t="str">
        <f aca="false">IF(A188="","",YEAR(A188))</f>
        <v/>
      </c>
      <c r="L188" s="42"/>
    </row>
    <row r="189" customFormat="false" ht="21.75" hidden="false" customHeight="true" outlineLevel="0" collapsed="false">
      <c r="A189" s="37"/>
      <c r="B189" s="37"/>
      <c r="C189" s="37"/>
      <c r="D189" s="37"/>
      <c r="E189" s="37"/>
      <c r="F189" s="40" t="str">
        <f aca="false">IF(E189="","",ROUND(E189*0.2,2))</f>
        <v/>
      </c>
      <c r="G189" s="40" t="str">
        <f aca="false">IF(E189="","",E189+F189)</f>
        <v/>
      </c>
      <c r="H189" s="37"/>
      <c r="I189" s="37"/>
      <c r="J189" s="37" t="str">
        <f aca="false">IF(A189="","",MONTH(A189))</f>
        <v/>
      </c>
      <c r="K189" s="37" t="str">
        <f aca="false">IF(A189="","",YEAR(A189))</f>
        <v/>
      </c>
      <c r="L189" s="37"/>
    </row>
    <row r="190" customFormat="false" ht="21.75" hidden="false" customHeight="true" outlineLevel="0" collapsed="false">
      <c r="A190" s="42"/>
      <c r="B190" s="42"/>
      <c r="C190" s="42"/>
      <c r="D190" s="42"/>
      <c r="E190" s="42"/>
      <c r="F190" s="45" t="str">
        <f aca="false">IF(E190="","",ROUND(E190*0.2,2))</f>
        <v/>
      </c>
      <c r="G190" s="45" t="str">
        <f aca="false">IF(E190="","",E190+F190)</f>
        <v/>
      </c>
      <c r="H190" s="42"/>
      <c r="I190" s="42"/>
      <c r="J190" s="42" t="str">
        <f aca="false">IF(A190="","",MONTH(A190))</f>
        <v/>
      </c>
      <c r="K190" s="42" t="str">
        <f aca="false">IF(A190="","",YEAR(A190))</f>
        <v/>
      </c>
      <c r="L190" s="42"/>
    </row>
    <row r="191" customFormat="false" ht="21.75" hidden="false" customHeight="true" outlineLevel="0" collapsed="false">
      <c r="A191" s="37"/>
      <c r="B191" s="37"/>
      <c r="C191" s="37"/>
      <c r="D191" s="37"/>
      <c r="E191" s="37"/>
      <c r="F191" s="40" t="str">
        <f aca="false">IF(E191="","",ROUND(E191*0.2,2))</f>
        <v/>
      </c>
      <c r="G191" s="40" t="str">
        <f aca="false">IF(E191="","",E191+F191)</f>
        <v/>
      </c>
      <c r="H191" s="37"/>
      <c r="I191" s="37"/>
      <c r="J191" s="37" t="str">
        <f aca="false">IF(A191="","",MONTH(A191))</f>
        <v/>
      </c>
      <c r="K191" s="37" t="str">
        <f aca="false">IF(A191="","",YEAR(A191))</f>
        <v/>
      </c>
      <c r="L191" s="37"/>
    </row>
    <row r="192" customFormat="false" ht="21.75" hidden="false" customHeight="true" outlineLevel="0" collapsed="false">
      <c r="A192" s="42"/>
      <c r="B192" s="42"/>
      <c r="C192" s="42"/>
      <c r="D192" s="42"/>
      <c r="E192" s="42"/>
      <c r="F192" s="45" t="str">
        <f aca="false">IF(E192="","",ROUND(E192*0.2,2))</f>
        <v/>
      </c>
      <c r="G192" s="45" t="str">
        <f aca="false">IF(E192="","",E192+F192)</f>
        <v/>
      </c>
      <c r="H192" s="42"/>
      <c r="I192" s="42"/>
      <c r="J192" s="42" t="str">
        <f aca="false">IF(A192="","",MONTH(A192))</f>
        <v/>
      </c>
      <c r="K192" s="42" t="str">
        <f aca="false">IF(A192="","",YEAR(A192))</f>
        <v/>
      </c>
      <c r="L192" s="42"/>
    </row>
    <row r="193" customFormat="false" ht="21.75" hidden="false" customHeight="true" outlineLevel="0" collapsed="false">
      <c r="A193" s="37"/>
      <c r="B193" s="37"/>
      <c r="C193" s="37"/>
      <c r="D193" s="37"/>
      <c r="E193" s="37"/>
      <c r="F193" s="40" t="str">
        <f aca="false">IF(E193="","",ROUND(E193*0.2,2))</f>
        <v/>
      </c>
      <c r="G193" s="40" t="str">
        <f aca="false">IF(E193="","",E193+F193)</f>
        <v/>
      </c>
      <c r="H193" s="37"/>
      <c r="I193" s="37"/>
      <c r="J193" s="37" t="str">
        <f aca="false">IF(A193="","",MONTH(A193))</f>
        <v/>
      </c>
      <c r="K193" s="37" t="str">
        <f aca="false">IF(A193="","",YEAR(A193))</f>
        <v/>
      </c>
      <c r="L193" s="37"/>
    </row>
    <row r="194" customFormat="false" ht="21.75" hidden="false" customHeight="true" outlineLevel="0" collapsed="false">
      <c r="A194" s="42"/>
      <c r="B194" s="42"/>
      <c r="C194" s="42"/>
      <c r="D194" s="42"/>
      <c r="E194" s="42"/>
      <c r="F194" s="45" t="str">
        <f aca="false">IF(E194="","",ROUND(E194*0.2,2))</f>
        <v/>
      </c>
      <c r="G194" s="45" t="str">
        <f aca="false">IF(E194="","",E194+F194)</f>
        <v/>
      </c>
      <c r="H194" s="42"/>
      <c r="I194" s="42"/>
      <c r="J194" s="42" t="str">
        <f aca="false">IF(A194="","",MONTH(A194))</f>
        <v/>
      </c>
      <c r="K194" s="42" t="str">
        <f aca="false">IF(A194="","",YEAR(A194))</f>
        <v/>
      </c>
      <c r="L194" s="42"/>
    </row>
    <row r="195" customFormat="false" ht="21.75" hidden="false" customHeight="true" outlineLevel="0" collapsed="false">
      <c r="A195" s="37"/>
      <c r="B195" s="37"/>
      <c r="C195" s="37"/>
      <c r="D195" s="37"/>
      <c r="E195" s="37"/>
      <c r="F195" s="40" t="str">
        <f aca="false">IF(E195="","",ROUND(E195*0.2,2))</f>
        <v/>
      </c>
      <c r="G195" s="40" t="str">
        <f aca="false">IF(E195="","",E195+F195)</f>
        <v/>
      </c>
      <c r="H195" s="37"/>
      <c r="I195" s="37"/>
      <c r="J195" s="37" t="str">
        <f aca="false">IF(A195="","",MONTH(A195))</f>
        <v/>
      </c>
      <c r="K195" s="37" t="str">
        <f aca="false">IF(A195="","",YEAR(A195))</f>
        <v/>
      </c>
      <c r="L195" s="37"/>
    </row>
    <row r="196" customFormat="false" ht="21.75" hidden="false" customHeight="true" outlineLevel="0" collapsed="false">
      <c r="A196" s="42"/>
      <c r="B196" s="42"/>
      <c r="C196" s="42"/>
      <c r="D196" s="42"/>
      <c r="E196" s="42"/>
      <c r="F196" s="45" t="str">
        <f aca="false">IF(E196="","",ROUND(E196*0.2,2))</f>
        <v/>
      </c>
      <c r="G196" s="45" t="str">
        <f aca="false">IF(E196="","",E196+F196)</f>
        <v/>
      </c>
      <c r="H196" s="42"/>
      <c r="I196" s="42"/>
      <c r="J196" s="42" t="str">
        <f aca="false">IF(A196="","",MONTH(A196))</f>
        <v/>
      </c>
      <c r="K196" s="42" t="str">
        <f aca="false">IF(A196="","",YEAR(A196))</f>
        <v/>
      </c>
      <c r="L196" s="42"/>
    </row>
    <row r="197" customFormat="false" ht="21.75" hidden="false" customHeight="true" outlineLevel="0" collapsed="false">
      <c r="A197" s="37"/>
      <c r="B197" s="37"/>
      <c r="C197" s="37"/>
      <c r="D197" s="37"/>
      <c r="E197" s="37"/>
      <c r="F197" s="40" t="str">
        <f aca="false">IF(E197="","",ROUND(E197*0.2,2))</f>
        <v/>
      </c>
      <c r="G197" s="40" t="str">
        <f aca="false">IF(E197="","",E197+F197)</f>
        <v/>
      </c>
      <c r="H197" s="37"/>
      <c r="I197" s="37"/>
      <c r="J197" s="37" t="str">
        <f aca="false">IF(A197="","",MONTH(A197))</f>
        <v/>
      </c>
      <c r="K197" s="37" t="str">
        <f aca="false">IF(A197="","",YEAR(A197))</f>
        <v/>
      </c>
      <c r="L197" s="37"/>
    </row>
    <row r="198" customFormat="false" ht="21.75" hidden="false" customHeight="true" outlineLevel="0" collapsed="false">
      <c r="A198" s="42"/>
      <c r="B198" s="42"/>
      <c r="C198" s="42"/>
      <c r="D198" s="42"/>
      <c r="E198" s="42"/>
      <c r="F198" s="45" t="str">
        <f aca="false">IF(E198="","",ROUND(E198*0.2,2))</f>
        <v/>
      </c>
      <c r="G198" s="45" t="str">
        <f aca="false">IF(E198="","",E198+F198)</f>
        <v/>
      </c>
      <c r="H198" s="42"/>
      <c r="I198" s="42"/>
      <c r="J198" s="42" t="str">
        <f aca="false">IF(A198="","",MONTH(A198))</f>
        <v/>
      </c>
      <c r="K198" s="42" t="str">
        <f aca="false">IF(A198="","",YEAR(A198))</f>
        <v/>
      </c>
      <c r="L198" s="42"/>
    </row>
    <row r="199" customFormat="false" ht="21.75" hidden="false" customHeight="true" outlineLevel="0" collapsed="false">
      <c r="A199" s="37"/>
      <c r="B199" s="37"/>
      <c r="C199" s="37"/>
      <c r="D199" s="37"/>
      <c r="E199" s="37"/>
      <c r="F199" s="40" t="str">
        <f aca="false">IF(E199="","",ROUND(E199*0.2,2))</f>
        <v/>
      </c>
      <c r="G199" s="40" t="str">
        <f aca="false">IF(E199="","",E199+F199)</f>
        <v/>
      </c>
      <c r="H199" s="37"/>
      <c r="I199" s="37"/>
      <c r="J199" s="37" t="str">
        <f aca="false">IF(A199="","",MONTH(A199))</f>
        <v/>
      </c>
      <c r="K199" s="37" t="str">
        <f aca="false">IF(A199="","",YEAR(A199))</f>
        <v/>
      </c>
      <c r="L199" s="37"/>
    </row>
    <row r="200" customFormat="false" ht="21.75" hidden="false" customHeight="true" outlineLevel="0" collapsed="false">
      <c r="A200" s="42"/>
      <c r="B200" s="42"/>
      <c r="C200" s="42"/>
      <c r="D200" s="42"/>
      <c r="E200" s="42"/>
      <c r="F200" s="45" t="str">
        <f aca="false">IF(E200="","",ROUND(E200*0.2,2))</f>
        <v/>
      </c>
      <c r="G200" s="45" t="str">
        <f aca="false">IF(E200="","",E200+F200)</f>
        <v/>
      </c>
      <c r="H200" s="42"/>
      <c r="I200" s="42"/>
      <c r="J200" s="42" t="str">
        <f aca="false">IF(A200="","",MONTH(A200))</f>
        <v/>
      </c>
      <c r="K200" s="42" t="str">
        <f aca="false">IF(A200="","",YEAR(A200))</f>
        <v/>
      </c>
      <c r="L200" s="42"/>
    </row>
    <row r="201" customFormat="false" ht="21.75" hidden="false" customHeight="true" outlineLevel="0" collapsed="false">
      <c r="A201" s="37"/>
      <c r="B201" s="37"/>
      <c r="C201" s="37"/>
      <c r="D201" s="37"/>
      <c r="E201" s="37"/>
      <c r="F201" s="40" t="str">
        <f aca="false">IF(E201="","",ROUND(E201*0.2,2))</f>
        <v/>
      </c>
      <c r="G201" s="40" t="str">
        <f aca="false">IF(E201="","",E201+F201)</f>
        <v/>
      </c>
      <c r="H201" s="37"/>
      <c r="I201" s="37"/>
      <c r="J201" s="37" t="str">
        <f aca="false">IF(A201="","",MONTH(A201))</f>
        <v/>
      </c>
      <c r="K201" s="37" t="str">
        <f aca="false">IF(A201="","",YEAR(A201))</f>
        <v/>
      </c>
      <c r="L201" s="37"/>
    </row>
    <row r="202" customFormat="false" ht="21.75" hidden="false" customHeight="true" outlineLevel="0" collapsed="false">
      <c r="A202" s="42"/>
      <c r="B202" s="42"/>
      <c r="C202" s="42"/>
      <c r="D202" s="42"/>
      <c r="E202" s="42"/>
      <c r="F202" s="45" t="str">
        <f aca="false">IF(E202="","",ROUND(E202*0.2,2))</f>
        <v/>
      </c>
      <c r="G202" s="45" t="str">
        <f aca="false">IF(E202="","",E202+F202)</f>
        <v/>
      </c>
      <c r="H202" s="42"/>
      <c r="I202" s="42"/>
      <c r="J202" s="42" t="str">
        <f aca="false">IF(A202="","",MONTH(A202))</f>
        <v/>
      </c>
      <c r="K202" s="42" t="str">
        <f aca="false">IF(A202="","",YEAR(A202))</f>
        <v/>
      </c>
      <c r="L202" s="42"/>
    </row>
    <row r="203" customFormat="false" ht="21.75" hidden="false" customHeight="true" outlineLevel="0" collapsed="false">
      <c r="A203" s="37"/>
      <c r="B203" s="37"/>
      <c r="C203" s="37"/>
      <c r="D203" s="37"/>
      <c r="E203" s="37"/>
      <c r="F203" s="40" t="str">
        <f aca="false">IF(E203="","",ROUND(E203*0.2,2))</f>
        <v/>
      </c>
      <c r="G203" s="40" t="str">
        <f aca="false">IF(E203="","",E203+F203)</f>
        <v/>
      </c>
      <c r="H203" s="37"/>
      <c r="I203" s="37"/>
      <c r="J203" s="37" t="str">
        <f aca="false">IF(A203="","",MONTH(A203))</f>
        <v/>
      </c>
      <c r="K203" s="37" t="str">
        <f aca="false">IF(A203="","",YEAR(A203))</f>
        <v/>
      </c>
      <c r="L203" s="37"/>
    </row>
    <row r="204" customFormat="false" ht="21.75" hidden="false" customHeight="true" outlineLevel="0" collapsed="false">
      <c r="A204" s="42"/>
      <c r="B204" s="42"/>
      <c r="C204" s="42"/>
      <c r="D204" s="42"/>
      <c r="E204" s="42"/>
      <c r="F204" s="45" t="str">
        <f aca="false">IF(E204="","",ROUND(E204*0.2,2))</f>
        <v/>
      </c>
      <c r="G204" s="45" t="str">
        <f aca="false">IF(E204="","",E204+F204)</f>
        <v/>
      </c>
      <c r="H204" s="42"/>
      <c r="I204" s="42"/>
      <c r="J204" s="42" t="str">
        <f aca="false">IF(A204="","",MONTH(A204))</f>
        <v/>
      </c>
      <c r="K204" s="42" t="str">
        <f aca="false">IF(A204="","",YEAR(A204))</f>
        <v/>
      </c>
      <c r="L204" s="42"/>
    </row>
    <row r="205" customFormat="false" ht="21.75" hidden="false" customHeight="true" outlineLevel="0" collapsed="false">
      <c r="A205" s="37"/>
      <c r="B205" s="37"/>
      <c r="C205" s="37"/>
      <c r="D205" s="37"/>
      <c r="E205" s="37"/>
      <c r="F205" s="40" t="str">
        <f aca="false">IF(E205="","",ROUND(E205*0.2,2))</f>
        <v/>
      </c>
      <c r="G205" s="40" t="str">
        <f aca="false">IF(E205="","",E205+F205)</f>
        <v/>
      </c>
      <c r="H205" s="37"/>
      <c r="I205" s="37"/>
      <c r="J205" s="37" t="str">
        <f aca="false">IF(A205="","",MONTH(A205))</f>
        <v/>
      </c>
      <c r="K205" s="37" t="str">
        <f aca="false">IF(A205="","",YEAR(A205))</f>
        <v/>
      </c>
      <c r="L205" s="37"/>
    </row>
    <row r="206" customFormat="false" ht="21.75" hidden="false" customHeight="true" outlineLevel="0" collapsed="false">
      <c r="A206" s="42"/>
      <c r="B206" s="42"/>
      <c r="C206" s="42"/>
      <c r="D206" s="42"/>
      <c r="E206" s="42"/>
      <c r="F206" s="45" t="str">
        <f aca="false">IF(E206="","",ROUND(E206*0.2,2))</f>
        <v/>
      </c>
      <c r="G206" s="45" t="str">
        <f aca="false">IF(E206="","",E206+F206)</f>
        <v/>
      </c>
      <c r="H206" s="42"/>
      <c r="I206" s="42"/>
      <c r="J206" s="42" t="str">
        <f aca="false">IF(A206="","",MONTH(A206))</f>
        <v/>
      </c>
      <c r="K206" s="42" t="str">
        <f aca="false">IF(A206="","",YEAR(A206))</f>
        <v/>
      </c>
      <c r="L206" s="42"/>
    </row>
    <row r="207" customFormat="false" ht="21.75" hidden="false" customHeight="true" outlineLevel="0" collapsed="false">
      <c r="A207" s="37"/>
      <c r="B207" s="37"/>
      <c r="C207" s="37"/>
      <c r="D207" s="37"/>
      <c r="E207" s="37"/>
      <c r="F207" s="40" t="str">
        <f aca="false">IF(E207="","",ROUND(E207*0.2,2))</f>
        <v/>
      </c>
      <c r="G207" s="40" t="str">
        <f aca="false">IF(E207="","",E207+F207)</f>
        <v/>
      </c>
      <c r="H207" s="37"/>
      <c r="I207" s="37"/>
      <c r="J207" s="37" t="str">
        <f aca="false">IF(A207="","",MONTH(A207))</f>
        <v/>
      </c>
      <c r="K207" s="37" t="str">
        <f aca="false">IF(A207="","",YEAR(A207))</f>
        <v/>
      </c>
      <c r="L207" s="37"/>
    </row>
    <row r="208" customFormat="false" ht="21.75" hidden="false" customHeight="true" outlineLevel="0" collapsed="false">
      <c r="A208" s="42"/>
      <c r="B208" s="42"/>
      <c r="C208" s="42"/>
      <c r="D208" s="42"/>
      <c r="E208" s="42"/>
      <c r="F208" s="45" t="str">
        <f aca="false">IF(E208="","",ROUND(E208*0.2,2))</f>
        <v/>
      </c>
      <c r="G208" s="45" t="str">
        <f aca="false">IF(E208="","",E208+F208)</f>
        <v/>
      </c>
      <c r="H208" s="42"/>
      <c r="I208" s="42"/>
      <c r="J208" s="42" t="str">
        <f aca="false">IF(A208="","",MONTH(A208))</f>
        <v/>
      </c>
      <c r="K208" s="42" t="str">
        <f aca="false">IF(A208="","",YEAR(A208))</f>
        <v/>
      </c>
      <c r="L208" s="42"/>
    </row>
    <row r="209" customFormat="false" ht="21.75" hidden="false" customHeight="true" outlineLevel="0" collapsed="false">
      <c r="A209" s="37"/>
      <c r="B209" s="37"/>
      <c r="C209" s="37"/>
      <c r="D209" s="37"/>
      <c r="E209" s="37"/>
      <c r="F209" s="40" t="str">
        <f aca="false">IF(E209="","",ROUND(E209*0.2,2))</f>
        <v/>
      </c>
      <c r="G209" s="40" t="str">
        <f aca="false">IF(E209="","",E209+F209)</f>
        <v/>
      </c>
      <c r="H209" s="37"/>
      <c r="I209" s="37"/>
      <c r="J209" s="37" t="str">
        <f aca="false">IF(A209="","",MONTH(A209))</f>
        <v/>
      </c>
      <c r="K209" s="37" t="str">
        <f aca="false">IF(A209="","",YEAR(A209))</f>
        <v/>
      </c>
      <c r="L209" s="37"/>
    </row>
    <row r="210" customFormat="false" ht="21.75" hidden="false" customHeight="true" outlineLevel="0" collapsed="false">
      <c r="A210" s="42"/>
      <c r="B210" s="42"/>
      <c r="C210" s="42"/>
      <c r="D210" s="42"/>
      <c r="E210" s="42"/>
      <c r="F210" s="45" t="str">
        <f aca="false">IF(E210="","",ROUND(E210*0.2,2))</f>
        <v/>
      </c>
      <c r="G210" s="45" t="str">
        <f aca="false">IF(E210="","",E210+F210)</f>
        <v/>
      </c>
      <c r="H210" s="42"/>
      <c r="I210" s="42"/>
      <c r="J210" s="42" t="str">
        <f aca="false">IF(A210="","",MONTH(A210))</f>
        <v/>
      </c>
      <c r="K210" s="42" t="str">
        <f aca="false">IF(A210="","",YEAR(A210))</f>
        <v/>
      </c>
      <c r="L210" s="42"/>
    </row>
    <row r="211" customFormat="false" ht="21.75" hidden="false" customHeight="true" outlineLevel="0" collapsed="false">
      <c r="A211" s="37"/>
      <c r="B211" s="37"/>
      <c r="C211" s="37"/>
      <c r="D211" s="37"/>
      <c r="E211" s="37"/>
      <c r="F211" s="40" t="str">
        <f aca="false">IF(E211="","",ROUND(E211*0.2,2))</f>
        <v/>
      </c>
      <c r="G211" s="40" t="str">
        <f aca="false">IF(E211="","",E211+F211)</f>
        <v/>
      </c>
      <c r="H211" s="37"/>
      <c r="I211" s="37"/>
      <c r="J211" s="37" t="str">
        <f aca="false">IF(A211="","",MONTH(A211))</f>
        <v/>
      </c>
      <c r="K211" s="37" t="str">
        <f aca="false">IF(A211="","",YEAR(A211))</f>
        <v/>
      </c>
      <c r="L211" s="37"/>
    </row>
    <row r="212" customFormat="false" ht="21.75" hidden="false" customHeight="true" outlineLevel="0" collapsed="false">
      <c r="A212" s="42"/>
      <c r="B212" s="42"/>
      <c r="C212" s="42"/>
      <c r="D212" s="42"/>
      <c r="E212" s="42"/>
      <c r="F212" s="45" t="str">
        <f aca="false">IF(E212="","",ROUND(E212*0.2,2))</f>
        <v/>
      </c>
      <c r="G212" s="45" t="str">
        <f aca="false">IF(E212="","",E212+F212)</f>
        <v/>
      </c>
      <c r="H212" s="42"/>
      <c r="I212" s="42"/>
      <c r="J212" s="42" t="str">
        <f aca="false">IF(A212="","",MONTH(A212))</f>
        <v/>
      </c>
      <c r="K212" s="42" t="str">
        <f aca="false">IF(A212="","",YEAR(A212))</f>
        <v/>
      </c>
      <c r="L212" s="42"/>
    </row>
    <row r="213" customFormat="false" ht="21.75" hidden="false" customHeight="true" outlineLevel="0" collapsed="false">
      <c r="A213" s="37"/>
      <c r="B213" s="37"/>
      <c r="C213" s="37"/>
      <c r="D213" s="37"/>
      <c r="E213" s="37"/>
      <c r="F213" s="40" t="str">
        <f aca="false">IF(E213="","",ROUND(E213*0.2,2))</f>
        <v/>
      </c>
      <c r="G213" s="40" t="str">
        <f aca="false">IF(E213="","",E213+F213)</f>
        <v/>
      </c>
      <c r="H213" s="37"/>
      <c r="I213" s="37"/>
      <c r="J213" s="37" t="str">
        <f aca="false">IF(A213="","",MONTH(A213))</f>
        <v/>
      </c>
      <c r="K213" s="37" t="str">
        <f aca="false">IF(A213="","",YEAR(A213))</f>
        <v/>
      </c>
      <c r="L213" s="37"/>
    </row>
    <row r="214" customFormat="false" ht="21.75" hidden="false" customHeight="true" outlineLevel="0" collapsed="false">
      <c r="A214" s="42"/>
      <c r="B214" s="42"/>
      <c r="C214" s="42"/>
      <c r="D214" s="42"/>
      <c r="E214" s="42"/>
      <c r="F214" s="45" t="str">
        <f aca="false">IF(E214="","",ROUND(E214*0.2,2))</f>
        <v/>
      </c>
      <c r="G214" s="45" t="str">
        <f aca="false">IF(E214="","",E214+F214)</f>
        <v/>
      </c>
      <c r="H214" s="42"/>
      <c r="I214" s="42"/>
      <c r="J214" s="42" t="str">
        <f aca="false">IF(A214="","",MONTH(A214))</f>
        <v/>
      </c>
      <c r="K214" s="42" t="str">
        <f aca="false">IF(A214="","",YEAR(A214))</f>
        <v/>
      </c>
      <c r="L214" s="42"/>
    </row>
    <row r="215" customFormat="false" ht="21.75" hidden="false" customHeight="true" outlineLevel="0" collapsed="false">
      <c r="A215" s="37"/>
      <c r="B215" s="37"/>
      <c r="C215" s="37"/>
      <c r="D215" s="37"/>
      <c r="E215" s="37"/>
      <c r="F215" s="40" t="str">
        <f aca="false">IF(E215="","",ROUND(E215*0.2,2))</f>
        <v/>
      </c>
      <c r="G215" s="40" t="str">
        <f aca="false">IF(E215="","",E215+F215)</f>
        <v/>
      </c>
      <c r="H215" s="37"/>
      <c r="I215" s="37"/>
      <c r="J215" s="37" t="str">
        <f aca="false">IF(A215="","",MONTH(A215))</f>
        <v/>
      </c>
      <c r="K215" s="37" t="str">
        <f aca="false">IF(A215="","",YEAR(A215))</f>
        <v/>
      </c>
      <c r="L215" s="37"/>
    </row>
    <row r="216" customFormat="false" ht="21.75" hidden="false" customHeight="true" outlineLevel="0" collapsed="false">
      <c r="A216" s="42"/>
      <c r="B216" s="42"/>
      <c r="C216" s="42"/>
      <c r="D216" s="42"/>
      <c r="E216" s="42"/>
      <c r="F216" s="45" t="str">
        <f aca="false">IF(E216="","",ROUND(E216*0.2,2))</f>
        <v/>
      </c>
      <c r="G216" s="45" t="str">
        <f aca="false">IF(E216="","",E216+F216)</f>
        <v/>
      </c>
      <c r="H216" s="42"/>
      <c r="I216" s="42"/>
      <c r="J216" s="42" t="str">
        <f aca="false">IF(A216="","",MONTH(A216))</f>
        <v/>
      </c>
      <c r="K216" s="42" t="str">
        <f aca="false">IF(A216="","",YEAR(A216))</f>
        <v/>
      </c>
      <c r="L216" s="42"/>
    </row>
    <row r="217" customFormat="false" ht="21.75" hidden="false" customHeight="true" outlineLevel="0" collapsed="false">
      <c r="A217" s="37"/>
      <c r="B217" s="37"/>
      <c r="C217" s="37"/>
      <c r="D217" s="37"/>
      <c r="E217" s="37"/>
      <c r="F217" s="40" t="str">
        <f aca="false">IF(E217="","",ROUND(E217*0.2,2))</f>
        <v/>
      </c>
      <c r="G217" s="40" t="str">
        <f aca="false">IF(E217="","",E217+F217)</f>
        <v/>
      </c>
      <c r="H217" s="37"/>
      <c r="I217" s="37"/>
      <c r="J217" s="37" t="str">
        <f aca="false">IF(A217="","",MONTH(A217))</f>
        <v/>
      </c>
      <c r="K217" s="37" t="str">
        <f aca="false">IF(A217="","",YEAR(A217))</f>
        <v/>
      </c>
      <c r="L217" s="37"/>
    </row>
    <row r="218" customFormat="false" ht="21.75" hidden="false" customHeight="true" outlineLevel="0" collapsed="false">
      <c r="A218" s="42"/>
      <c r="B218" s="42"/>
      <c r="C218" s="42"/>
      <c r="D218" s="42"/>
      <c r="E218" s="42"/>
      <c r="F218" s="45" t="str">
        <f aca="false">IF(E218="","",ROUND(E218*0.2,2))</f>
        <v/>
      </c>
      <c r="G218" s="45" t="str">
        <f aca="false">IF(E218="","",E218+F218)</f>
        <v/>
      </c>
      <c r="H218" s="42"/>
      <c r="I218" s="42"/>
      <c r="J218" s="42" t="str">
        <f aca="false">IF(A218="","",MONTH(A218))</f>
        <v/>
      </c>
      <c r="K218" s="42" t="str">
        <f aca="false">IF(A218="","",YEAR(A218))</f>
        <v/>
      </c>
      <c r="L218" s="42"/>
    </row>
    <row r="219" customFormat="false" ht="21.75" hidden="false" customHeight="true" outlineLevel="0" collapsed="false">
      <c r="A219" s="37"/>
      <c r="B219" s="37"/>
      <c r="C219" s="37"/>
      <c r="D219" s="37"/>
      <c r="E219" s="37"/>
      <c r="F219" s="40" t="str">
        <f aca="false">IF(E219="","",ROUND(E219*0.2,2))</f>
        <v/>
      </c>
      <c r="G219" s="40" t="str">
        <f aca="false">IF(E219="","",E219+F219)</f>
        <v/>
      </c>
      <c r="H219" s="37"/>
      <c r="I219" s="37"/>
      <c r="J219" s="37" t="str">
        <f aca="false">IF(A219="","",MONTH(A219))</f>
        <v/>
      </c>
      <c r="K219" s="37" t="str">
        <f aca="false">IF(A219="","",YEAR(A219))</f>
        <v/>
      </c>
      <c r="L219" s="37"/>
    </row>
    <row r="220" customFormat="false" ht="21.75" hidden="false" customHeight="true" outlineLevel="0" collapsed="false">
      <c r="A220" s="42"/>
      <c r="B220" s="42"/>
      <c r="C220" s="42"/>
      <c r="D220" s="42"/>
      <c r="E220" s="42"/>
      <c r="F220" s="45" t="str">
        <f aca="false">IF(E220="","",ROUND(E220*0.2,2))</f>
        <v/>
      </c>
      <c r="G220" s="45" t="str">
        <f aca="false">IF(E220="","",E220+F220)</f>
        <v/>
      </c>
      <c r="H220" s="42"/>
      <c r="I220" s="42"/>
      <c r="J220" s="42" t="str">
        <f aca="false">IF(A220="","",MONTH(A220))</f>
        <v/>
      </c>
      <c r="K220" s="42" t="str">
        <f aca="false">IF(A220="","",YEAR(A220))</f>
        <v/>
      </c>
      <c r="L220" s="42"/>
    </row>
    <row r="221" customFormat="false" ht="21.75" hidden="false" customHeight="true" outlineLevel="0" collapsed="false">
      <c r="A221" s="37"/>
      <c r="B221" s="37"/>
      <c r="C221" s="37"/>
      <c r="D221" s="37"/>
      <c r="E221" s="37"/>
      <c r="F221" s="40" t="str">
        <f aca="false">IF(E221="","",ROUND(E221*0.2,2))</f>
        <v/>
      </c>
      <c r="G221" s="40" t="str">
        <f aca="false">IF(E221="","",E221+F221)</f>
        <v/>
      </c>
      <c r="H221" s="37"/>
      <c r="I221" s="37"/>
      <c r="J221" s="37" t="str">
        <f aca="false">IF(A221="","",MONTH(A221))</f>
        <v/>
      </c>
      <c r="K221" s="37" t="str">
        <f aca="false">IF(A221="","",YEAR(A221))</f>
        <v/>
      </c>
      <c r="L221" s="37"/>
    </row>
    <row r="222" customFormat="false" ht="21.75" hidden="false" customHeight="true" outlineLevel="0" collapsed="false">
      <c r="A222" s="42"/>
      <c r="B222" s="42"/>
      <c r="C222" s="42"/>
      <c r="D222" s="42"/>
      <c r="E222" s="42"/>
      <c r="F222" s="45" t="str">
        <f aca="false">IF(E222="","",ROUND(E222*0.2,2))</f>
        <v/>
      </c>
      <c r="G222" s="45" t="str">
        <f aca="false">IF(E222="","",E222+F222)</f>
        <v/>
      </c>
      <c r="H222" s="42"/>
      <c r="I222" s="42"/>
      <c r="J222" s="42" t="str">
        <f aca="false">IF(A222="","",MONTH(A222))</f>
        <v/>
      </c>
      <c r="K222" s="42" t="str">
        <f aca="false">IF(A222="","",YEAR(A222))</f>
        <v/>
      </c>
      <c r="L222" s="42"/>
    </row>
    <row r="223" customFormat="false" ht="21.75" hidden="false" customHeight="true" outlineLevel="0" collapsed="false">
      <c r="A223" s="37"/>
      <c r="B223" s="37"/>
      <c r="C223" s="37"/>
      <c r="D223" s="37"/>
      <c r="E223" s="37"/>
      <c r="F223" s="40" t="str">
        <f aca="false">IF(E223="","",ROUND(E223*0.2,2))</f>
        <v/>
      </c>
      <c r="G223" s="40" t="str">
        <f aca="false">IF(E223="","",E223+F223)</f>
        <v/>
      </c>
      <c r="H223" s="37"/>
      <c r="I223" s="37"/>
      <c r="J223" s="37" t="str">
        <f aca="false">IF(A223="","",MONTH(A223))</f>
        <v/>
      </c>
      <c r="K223" s="37" t="str">
        <f aca="false">IF(A223="","",YEAR(A223))</f>
        <v/>
      </c>
      <c r="L223" s="37"/>
    </row>
    <row r="224" customFormat="false" ht="21.75" hidden="false" customHeight="true" outlineLevel="0" collapsed="false">
      <c r="A224" s="42"/>
      <c r="B224" s="42"/>
      <c r="C224" s="42"/>
      <c r="D224" s="42"/>
      <c r="E224" s="42"/>
      <c r="F224" s="45" t="str">
        <f aca="false">IF(E224="","",ROUND(E224*0.2,2))</f>
        <v/>
      </c>
      <c r="G224" s="45" t="str">
        <f aca="false">IF(E224="","",E224+F224)</f>
        <v/>
      </c>
      <c r="H224" s="42"/>
      <c r="I224" s="42"/>
      <c r="J224" s="42" t="str">
        <f aca="false">IF(A224="","",MONTH(A224))</f>
        <v/>
      </c>
      <c r="K224" s="42" t="str">
        <f aca="false">IF(A224="","",YEAR(A224))</f>
        <v/>
      </c>
      <c r="L224" s="42"/>
    </row>
    <row r="225" customFormat="false" ht="21.75" hidden="false" customHeight="true" outlineLevel="0" collapsed="false">
      <c r="A225" s="37"/>
      <c r="B225" s="37"/>
      <c r="C225" s="37"/>
      <c r="D225" s="37"/>
      <c r="E225" s="37"/>
      <c r="F225" s="40" t="str">
        <f aca="false">IF(E225="","",ROUND(E225*0.2,2))</f>
        <v/>
      </c>
      <c r="G225" s="40" t="str">
        <f aca="false">IF(E225="","",E225+F225)</f>
        <v/>
      </c>
      <c r="H225" s="37"/>
      <c r="I225" s="37"/>
      <c r="J225" s="37" t="str">
        <f aca="false">IF(A225="","",MONTH(A225))</f>
        <v/>
      </c>
      <c r="K225" s="37" t="str">
        <f aca="false">IF(A225="","",YEAR(A225))</f>
        <v/>
      </c>
      <c r="L225" s="37"/>
    </row>
    <row r="226" customFormat="false" ht="21.75" hidden="false" customHeight="true" outlineLevel="0" collapsed="false">
      <c r="A226" s="42"/>
      <c r="B226" s="42"/>
      <c r="C226" s="42"/>
      <c r="D226" s="42"/>
      <c r="E226" s="42"/>
      <c r="F226" s="45" t="str">
        <f aca="false">IF(E226="","",ROUND(E226*0.2,2))</f>
        <v/>
      </c>
      <c r="G226" s="45" t="str">
        <f aca="false">IF(E226="","",E226+F226)</f>
        <v/>
      </c>
      <c r="H226" s="42"/>
      <c r="I226" s="42"/>
      <c r="J226" s="42" t="str">
        <f aca="false">IF(A226="","",MONTH(A226))</f>
        <v/>
      </c>
      <c r="K226" s="42" t="str">
        <f aca="false">IF(A226="","",YEAR(A226))</f>
        <v/>
      </c>
      <c r="L226" s="42"/>
    </row>
    <row r="227" customFormat="false" ht="21.75" hidden="false" customHeight="true" outlineLevel="0" collapsed="false">
      <c r="A227" s="37"/>
      <c r="B227" s="37"/>
      <c r="C227" s="37"/>
      <c r="D227" s="37"/>
      <c r="E227" s="37"/>
      <c r="F227" s="40" t="str">
        <f aca="false">IF(E227="","",ROUND(E227*0.2,2))</f>
        <v/>
      </c>
      <c r="G227" s="40" t="str">
        <f aca="false">IF(E227="","",E227+F227)</f>
        <v/>
      </c>
      <c r="H227" s="37"/>
      <c r="I227" s="37"/>
      <c r="J227" s="37" t="str">
        <f aca="false">IF(A227="","",MONTH(A227))</f>
        <v/>
      </c>
      <c r="K227" s="37" t="str">
        <f aca="false">IF(A227="","",YEAR(A227))</f>
        <v/>
      </c>
      <c r="L227" s="37"/>
    </row>
    <row r="228" customFormat="false" ht="21.75" hidden="false" customHeight="true" outlineLevel="0" collapsed="false">
      <c r="A228" s="42"/>
      <c r="B228" s="42"/>
      <c r="C228" s="42"/>
      <c r="D228" s="42"/>
      <c r="E228" s="42"/>
      <c r="F228" s="45" t="str">
        <f aca="false">IF(E228="","",ROUND(E228*0.2,2))</f>
        <v/>
      </c>
      <c r="G228" s="45" t="str">
        <f aca="false">IF(E228="","",E228+F228)</f>
        <v/>
      </c>
      <c r="H228" s="42"/>
      <c r="I228" s="42"/>
      <c r="J228" s="42" t="str">
        <f aca="false">IF(A228="","",MONTH(A228))</f>
        <v/>
      </c>
      <c r="K228" s="42" t="str">
        <f aca="false">IF(A228="","",YEAR(A228))</f>
        <v/>
      </c>
      <c r="L228" s="42"/>
    </row>
    <row r="229" customFormat="false" ht="21.75" hidden="false" customHeight="true" outlineLevel="0" collapsed="false">
      <c r="A229" s="37"/>
      <c r="B229" s="37"/>
      <c r="C229" s="37"/>
      <c r="D229" s="37"/>
      <c r="E229" s="37"/>
      <c r="F229" s="40" t="str">
        <f aca="false">IF(E229="","",ROUND(E229*0.2,2))</f>
        <v/>
      </c>
      <c r="G229" s="40" t="str">
        <f aca="false">IF(E229="","",E229+F229)</f>
        <v/>
      </c>
      <c r="H229" s="37"/>
      <c r="I229" s="37"/>
      <c r="J229" s="37" t="str">
        <f aca="false">IF(A229="","",MONTH(A229))</f>
        <v/>
      </c>
      <c r="K229" s="37" t="str">
        <f aca="false">IF(A229="","",YEAR(A229))</f>
        <v/>
      </c>
      <c r="L229" s="37"/>
    </row>
    <row r="230" customFormat="false" ht="21.75" hidden="false" customHeight="true" outlineLevel="0" collapsed="false">
      <c r="A230" s="42"/>
      <c r="B230" s="42"/>
      <c r="C230" s="42"/>
      <c r="D230" s="42"/>
      <c r="E230" s="42"/>
      <c r="F230" s="45" t="str">
        <f aca="false">IF(E230="","",ROUND(E230*0.2,2))</f>
        <v/>
      </c>
      <c r="G230" s="45" t="str">
        <f aca="false">IF(E230="","",E230+F230)</f>
        <v/>
      </c>
      <c r="H230" s="42"/>
      <c r="I230" s="42"/>
      <c r="J230" s="42" t="str">
        <f aca="false">IF(A230="","",MONTH(A230))</f>
        <v/>
      </c>
      <c r="K230" s="42" t="str">
        <f aca="false">IF(A230="","",YEAR(A230))</f>
        <v/>
      </c>
      <c r="L230" s="42"/>
    </row>
    <row r="231" customFormat="false" ht="21.75" hidden="false" customHeight="true" outlineLevel="0" collapsed="false">
      <c r="A231" s="37"/>
      <c r="B231" s="37"/>
      <c r="C231" s="37"/>
      <c r="D231" s="37"/>
      <c r="E231" s="37"/>
      <c r="F231" s="40" t="str">
        <f aca="false">IF(E231="","",ROUND(E231*0.2,2))</f>
        <v/>
      </c>
      <c r="G231" s="40" t="str">
        <f aca="false">IF(E231="","",E231+F231)</f>
        <v/>
      </c>
      <c r="H231" s="37"/>
      <c r="I231" s="37"/>
      <c r="J231" s="37" t="str">
        <f aca="false">IF(A231="","",MONTH(A231))</f>
        <v/>
      </c>
      <c r="K231" s="37" t="str">
        <f aca="false">IF(A231="","",YEAR(A231))</f>
        <v/>
      </c>
      <c r="L231" s="37"/>
    </row>
    <row r="232" customFormat="false" ht="21.75" hidden="false" customHeight="true" outlineLevel="0" collapsed="false">
      <c r="A232" s="42"/>
      <c r="B232" s="42"/>
      <c r="C232" s="42"/>
      <c r="D232" s="42"/>
      <c r="E232" s="42"/>
      <c r="F232" s="45" t="str">
        <f aca="false">IF(E232="","",ROUND(E232*0.2,2))</f>
        <v/>
      </c>
      <c r="G232" s="45" t="str">
        <f aca="false">IF(E232="","",E232+F232)</f>
        <v/>
      </c>
      <c r="H232" s="42"/>
      <c r="I232" s="42"/>
      <c r="J232" s="42" t="str">
        <f aca="false">IF(A232="","",MONTH(A232))</f>
        <v/>
      </c>
      <c r="K232" s="42" t="str">
        <f aca="false">IF(A232="","",YEAR(A232))</f>
        <v/>
      </c>
      <c r="L232" s="42"/>
    </row>
    <row r="233" customFormat="false" ht="21.75" hidden="false" customHeight="true" outlineLevel="0" collapsed="false">
      <c r="A233" s="37"/>
      <c r="B233" s="37"/>
      <c r="C233" s="37"/>
      <c r="D233" s="37"/>
      <c r="E233" s="37"/>
      <c r="F233" s="40" t="str">
        <f aca="false">IF(E233="","",ROUND(E233*0.2,2))</f>
        <v/>
      </c>
      <c r="G233" s="40" t="str">
        <f aca="false">IF(E233="","",E233+F233)</f>
        <v/>
      </c>
      <c r="H233" s="37"/>
      <c r="I233" s="37"/>
      <c r="J233" s="37" t="str">
        <f aca="false">IF(A233="","",MONTH(A233))</f>
        <v/>
      </c>
      <c r="K233" s="37" t="str">
        <f aca="false">IF(A233="","",YEAR(A233))</f>
        <v/>
      </c>
      <c r="L233" s="37"/>
    </row>
    <row r="234" customFormat="false" ht="21.75" hidden="false" customHeight="true" outlineLevel="0" collapsed="false">
      <c r="A234" s="42"/>
      <c r="B234" s="42"/>
      <c r="C234" s="42"/>
      <c r="D234" s="42"/>
      <c r="E234" s="42"/>
      <c r="F234" s="45" t="str">
        <f aca="false">IF(E234="","",ROUND(E234*0.2,2))</f>
        <v/>
      </c>
      <c r="G234" s="45" t="str">
        <f aca="false">IF(E234="","",E234+F234)</f>
        <v/>
      </c>
      <c r="H234" s="42"/>
      <c r="I234" s="42"/>
      <c r="J234" s="42" t="str">
        <f aca="false">IF(A234="","",MONTH(A234))</f>
        <v/>
      </c>
      <c r="K234" s="42" t="str">
        <f aca="false">IF(A234="","",YEAR(A234))</f>
        <v/>
      </c>
      <c r="L234" s="42"/>
    </row>
    <row r="235" customFormat="false" ht="21.75" hidden="false" customHeight="true" outlineLevel="0" collapsed="false">
      <c r="A235" s="37"/>
      <c r="B235" s="37"/>
      <c r="C235" s="37"/>
      <c r="D235" s="37"/>
      <c r="E235" s="37"/>
      <c r="F235" s="40" t="str">
        <f aca="false">IF(E235="","",ROUND(E235*0.2,2))</f>
        <v/>
      </c>
      <c r="G235" s="40" t="str">
        <f aca="false">IF(E235="","",E235+F235)</f>
        <v/>
      </c>
      <c r="H235" s="37"/>
      <c r="I235" s="37"/>
      <c r="J235" s="37" t="str">
        <f aca="false">IF(A235="","",MONTH(A235))</f>
        <v/>
      </c>
      <c r="K235" s="37" t="str">
        <f aca="false">IF(A235="","",YEAR(A235))</f>
        <v/>
      </c>
      <c r="L235" s="37"/>
    </row>
    <row r="236" customFormat="false" ht="21.75" hidden="false" customHeight="true" outlineLevel="0" collapsed="false">
      <c r="A236" s="42"/>
      <c r="B236" s="42"/>
      <c r="C236" s="42"/>
      <c r="D236" s="42"/>
      <c r="E236" s="42"/>
      <c r="F236" s="45" t="str">
        <f aca="false">IF(E236="","",ROUND(E236*0.2,2))</f>
        <v/>
      </c>
      <c r="G236" s="45" t="str">
        <f aca="false">IF(E236="","",E236+F236)</f>
        <v/>
      </c>
      <c r="H236" s="42"/>
      <c r="I236" s="42"/>
      <c r="J236" s="42" t="str">
        <f aca="false">IF(A236="","",MONTH(A236))</f>
        <v/>
      </c>
      <c r="K236" s="42" t="str">
        <f aca="false">IF(A236="","",YEAR(A236))</f>
        <v/>
      </c>
      <c r="L236" s="42"/>
    </row>
    <row r="237" customFormat="false" ht="21.75" hidden="false" customHeight="true" outlineLevel="0" collapsed="false">
      <c r="A237" s="37"/>
      <c r="B237" s="37"/>
      <c r="C237" s="37"/>
      <c r="D237" s="37"/>
      <c r="E237" s="37"/>
      <c r="F237" s="40" t="str">
        <f aca="false">IF(E237="","",ROUND(E237*0.2,2))</f>
        <v/>
      </c>
      <c r="G237" s="40" t="str">
        <f aca="false">IF(E237="","",E237+F237)</f>
        <v/>
      </c>
      <c r="H237" s="37"/>
      <c r="I237" s="37"/>
      <c r="J237" s="37" t="str">
        <f aca="false">IF(A237="","",MONTH(A237))</f>
        <v/>
      </c>
      <c r="K237" s="37" t="str">
        <f aca="false">IF(A237="","",YEAR(A237))</f>
        <v/>
      </c>
      <c r="L237" s="37"/>
    </row>
    <row r="238" customFormat="false" ht="21.75" hidden="false" customHeight="true" outlineLevel="0" collapsed="false">
      <c r="A238" s="42"/>
      <c r="B238" s="42"/>
      <c r="C238" s="42"/>
      <c r="D238" s="42"/>
      <c r="E238" s="42"/>
      <c r="F238" s="45" t="str">
        <f aca="false">IF(E238="","",ROUND(E238*0.2,2))</f>
        <v/>
      </c>
      <c r="G238" s="45" t="str">
        <f aca="false">IF(E238="","",E238+F238)</f>
        <v/>
      </c>
      <c r="H238" s="42"/>
      <c r="I238" s="42"/>
      <c r="J238" s="42" t="str">
        <f aca="false">IF(A238="","",MONTH(A238))</f>
        <v/>
      </c>
      <c r="K238" s="42" t="str">
        <f aca="false">IF(A238="","",YEAR(A238))</f>
        <v/>
      </c>
      <c r="L238" s="42"/>
    </row>
    <row r="239" customFormat="false" ht="21.75" hidden="false" customHeight="true" outlineLevel="0" collapsed="false">
      <c r="A239" s="37"/>
      <c r="B239" s="37"/>
      <c r="C239" s="37"/>
      <c r="D239" s="37"/>
      <c r="E239" s="37"/>
      <c r="F239" s="40" t="str">
        <f aca="false">IF(E239="","",ROUND(E239*0.2,2))</f>
        <v/>
      </c>
      <c r="G239" s="40" t="str">
        <f aca="false">IF(E239="","",E239+F239)</f>
        <v/>
      </c>
      <c r="H239" s="37"/>
      <c r="I239" s="37"/>
      <c r="J239" s="37" t="str">
        <f aca="false">IF(A239="","",MONTH(A239))</f>
        <v/>
      </c>
      <c r="K239" s="37" t="str">
        <f aca="false">IF(A239="","",YEAR(A239))</f>
        <v/>
      </c>
      <c r="L239" s="37"/>
    </row>
    <row r="240" customFormat="false" ht="21.75" hidden="false" customHeight="true" outlineLevel="0" collapsed="false">
      <c r="A240" s="42"/>
      <c r="B240" s="42"/>
      <c r="C240" s="42"/>
      <c r="D240" s="42"/>
      <c r="E240" s="42"/>
      <c r="F240" s="45" t="str">
        <f aca="false">IF(E240="","",ROUND(E240*0.2,2))</f>
        <v/>
      </c>
      <c r="G240" s="45" t="str">
        <f aca="false">IF(E240="","",E240+F240)</f>
        <v/>
      </c>
      <c r="H240" s="42"/>
      <c r="I240" s="42"/>
      <c r="J240" s="42" t="str">
        <f aca="false">IF(A240="","",MONTH(A240))</f>
        <v/>
      </c>
      <c r="K240" s="42" t="str">
        <f aca="false">IF(A240="","",YEAR(A240))</f>
        <v/>
      </c>
      <c r="L240" s="42"/>
    </row>
    <row r="241" customFormat="false" ht="21.75" hidden="false" customHeight="true" outlineLevel="0" collapsed="false">
      <c r="A241" s="37"/>
      <c r="B241" s="37"/>
      <c r="C241" s="37"/>
      <c r="D241" s="37"/>
      <c r="E241" s="37"/>
      <c r="F241" s="40" t="str">
        <f aca="false">IF(E241="","",ROUND(E241*0.2,2))</f>
        <v/>
      </c>
      <c r="G241" s="40" t="str">
        <f aca="false">IF(E241="","",E241+F241)</f>
        <v/>
      </c>
      <c r="H241" s="37"/>
      <c r="I241" s="37"/>
      <c r="J241" s="37" t="str">
        <f aca="false">IF(A241="","",MONTH(A241))</f>
        <v/>
      </c>
      <c r="K241" s="37" t="str">
        <f aca="false">IF(A241="","",YEAR(A241))</f>
        <v/>
      </c>
      <c r="L241" s="37"/>
    </row>
    <row r="242" customFormat="false" ht="21.75" hidden="false" customHeight="true" outlineLevel="0" collapsed="false">
      <c r="A242" s="42"/>
      <c r="B242" s="42"/>
      <c r="C242" s="42"/>
      <c r="D242" s="42"/>
      <c r="E242" s="42"/>
      <c r="F242" s="45" t="str">
        <f aca="false">IF(E242="","",ROUND(E242*0.2,2))</f>
        <v/>
      </c>
      <c r="G242" s="45" t="str">
        <f aca="false">IF(E242="","",E242+F242)</f>
        <v/>
      </c>
      <c r="H242" s="42"/>
      <c r="I242" s="42"/>
      <c r="J242" s="42" t="str">
        <f aca="false">IF(A242="","",MONTH(A242))</f>
        <v/>
      </c>
      <c r="K242" s="42" t="str">
        <f aca="false">IF(A242="","",YEAR(A242))</f>
        <v/>
      </c>
      <c r="L242" s="42"/>
    </row>
    <row r="243" customFormat="false" ht="21.75" hidden="false" customHeight="true" outlineLevel="0" collapsed="false">
      <c r="A243" s="37"/>
      <c r="B243" s="37"/>
      <c r="C243" s="37"/>
      <c r="D243" s="37"/>
      <c r="E243" s="37"/>
      <c r="F243" s="40" t="str">
        <f aca="false">IF(E243="","",ROUND(E243*0.2,2))</f>
        <v/>
      </c>
      <c r="G243" s="40" t="str">
        <f aca="false">IF(E243="","",E243+F243)</f>
        <v/>
      </c>
      <c r="H243" s="37"/>
      <c r="I243" s="37"/>
      <c r="J243" s="37" t="str">
        <f aca="false">IF(A243="","",MONTH(A243))</f>
        <v/>
      </c>
      <c r="K243" s="37" t="str">
        <f aca="false">IF(A243="","",YEAR(A243))</f>
        <v/>
      </c>
      <c r="L243" s="37"/>
    </row>
    <row r="244" customFormat="false" ht="21.75" hidden="false" customHeight="true" outlineLevel="0" collapsed="false">
      <c r="A244" s="42"/>
      <c r="B244" s="42"/>
      <c r="C244" s="42"/>
      <c r="D244" s="42"/>
      <c r="E244" s="42"/>
      <c r="F244" s="45" t="str">
        <f aca="false">IF(E244="","",ROUND(E244*0.2,2))</f>
        <v/>
      </c>
      <c r="G244" s="45" t="str">
        <f aca="false">IF(E244="","",E244+F244)</f>
        <v/>
      </c>
      <c r="H244" s="42"/>
      <c r="I244" s="42"/>
      <c r="J244" s="42" t="str">
        <f aca="false">IF(A244="","",MONTH(A244))</f>
        <v/>
      </c>
      <c r="K244" s="42" t="str">
        <f aca="false">IF(A244="","",YEAR(A244))</f>
        <v/>
      </c>
      <c r="L244" s="42"/>
    </row>
    <row r="245" customFormat="false" ht="21.75" hidden="false" customHeight="true" outlineLevel="0" collapsed="false">
      <c r="A245" s="37"/>
      <c r="B245" s="37"/>
      <c r="C245" s="37"/>
      <c r="D245" s="37"/>
      <c r="E245" s="37"/>
      <c r="F245" s="40" t="str">
        <f aca="false">IF(E245="","",ROUND(E245*0.2,2))</f>
        <v/>
      </c>
      <c r="G245" s="40" t="str">
        <f aca="false">IF(E245="","",E245+F245)</f>
        <v/>
      </c>
      <c r="H245" s="37"/>
      <c r="I245" s="37"/>
      <c r="J245" s="37" t="str">
        <f aca="false">IF(A245="","",MONTH(A245))</f>
        <v/>
      </c>
      <c r="K245" s="37" t="str">
        <f aca="false">IF(A245="","",YEAR(A245))</f>
        <v/>
      </c>
      <c r="L245" s="37"/>
    </row>
    <row r="246" customFormat="false" ht="21.75" hidden="false" customHeight="true" outlineLevel="0" collapsed="false">
      <c r="A246" s="42"/>
      <c r="B246" s="42"/>
      <c r="C246" s="42"/>
      <c r="D246" s="42"/>
      <c r="E246" s="42"/>
      <c r="F246" s="45" t="str">
        <f aca="false">IF(E246="","",ROUND(E246*0.2,2))</f>
        <v/>
      </c>
      <c r="G246" s="45" t="str">
        <f aca="false">IF(E246="","",E246+F246)</f>
        <v/>
      </c>
      <c r="H246" s="42"/>
      <c r="I246" s="42"/>
      <c r="J246" s="42" t="str">
        <f aca="false">IF(A246="","",MONTH(A246))</f>
        <v/>
      </c>
      <c r="K246" s="42" t="str">
        <f aca="false">IF(A246="","",YEAR(A246))</f>
        <v/>
      </c>
      <c r="L246" s="42"/>
    </row>
    <row r="247" customFormat="false" ht="21.75" hidden="false" customHeight="true" outlineLevel="0" collapsed="false">
      <c r="A247" s="37"/>
      <c r="B247" s="37"/>
      <c r="C247" s="37"/>
      <c r="D247" s="37"/>
      <c r="E247" s="37"/>
      <c r="F247" s="40" t="str">
        <f aca="false">IF(E247="","",ROUND(E247*0.2,2))</f>
        <v/>
      </c>
      <c r="G247" s="40" t="str">
        <f aca="false">IF(E247="","",E247+F247)</f>
        <v/>
      </c>
      <c r="H247" s="37"/>
      <c r="I247" s="37"/>
      <c r="J247" s="37" t="str">
        <f aca="false">IF(A247="","",MONTH(A247))</f>
        <v/>
      </c>
      <c r="K247" s="37" t="str">
        <f aca="false">IF(A247="","",YEAR(A247))</f>
        <v/>
      </c>
      <c r="L247" s="37"/>
    </row>
    <row r="248" customFormat="false" ht="21.75" hidden="false" customHeight="true" outlineLevel="0" collapsed="false">
      <c r="A248" s="42"/>
      <c r="B248" s="42"/>
      <c r="C248" s="42"/>
      <c r="D248" s="42"/>
      <c r="E248" s="42"/>
      <c r="F248" s="45" t="str">
        <f aca="false">IF(E248="","",ROUND(E248*0.2,2))</f>
        <v/>
      </c>
      <c r="G248" s="45" t="str">
        <f aca="false">IF(E248="","",E248+F248)</f>
        <v/>
      </c>
      <c r="H248" s="42"/>
      <c r="I248" s="42"/>
      <c r="J248" s="42" t="str">
        <f aca="false">IF(A248="","",MONTH(A248))</f>
        <v/>
      </c>
      <c r="K248" s="42" t="str">
        <f aca="false">IF(A248="","",YEAR(A248))</f>
        <v/>
      </c>
      <c r="L248" s="42"/>
    </row>
    <row r="249" customFormat="false" ht="21.75" hidden="false" customHeight="true" outlineLevel="0" collapsed="false">
      <c r="A249" s="37"/>
      <c r="B249" s="37"/>
      <c r="C249" s="37"/>
      <c r="D249" s="37"/>
      <c r="E249" s="37"/>
      <c r="F249" s="40" t="str">
        <f aca="false">IF(E249="","",ROUND(E249*0.2,2))</f>
        <v/>
      </c>
      <c r="G249" s="40" t="str">
        <f aca="false">IF(E249="","",E249+F249)</f>
        <v/>
      </c>
      <c r="H249" s="37"/>
      <c r="I249" s="37"/>
      <c r="J249" s="37" t="str">
        <f aca="false">IF(A249="","",MONTH(A249))</f>
        <v/>
      </c>
      <c r="K249" s="37" t="str">
        <f aca="false">IF(A249="","",YEAR(A249))</f>
        <v/>
      </c>
      <c r="L249" s="37"/>
    </row>
    <row r="250" customFormat="false" ht="21.75" hidden="false" customHeight="true" outlineLevel="0" collapsed="false">
      <c r="A250" s="42"/>
      <c r="B250" s="42"/>
      <c r="C250" s="42"/>
      <c r="D250" s="42"/>
      <c r="E250" s="42"/>
      <c r="F250" s="45" t="str">
        <f aca="false">IF(E250="","",ROUND(E250*0.2,2))</f>
        <v/>
      </c>
      <c r="G250" s="45" t="str">
        <f aca="false">IF(E250="","",E250+F250)</f>
        <v/>
      </c>
      <c r="H250" s="42"/>
      <c r="I250" s="42"/>
      <c r="J250" s="42" t="str">
        <f aca="false">IF(A250="","",MONTH(A250))</f>
        <v/>
      </c>
      <c r="K250" s="42" t="str">
        <f aca="false">IF(A250="","",YEAR(A250))</f>
        <v/>
      </c>
      <c r="L250" s="42"/>
    </row>
    <row r="251" customFormat="false" ht="21.75" hidden="false" customHeight="true" outlineLevel="0" collapsed="false">
      <c r="A251" s="37"/>
      <c r="B251" s="37"/>
      <c r="C251" s="37"/>
      <c r="D251" s="37"/>
      <c r="E251" s="37"/>
      <c r="F251" s="40" t="str">
        <f aca="false">IF(E251="","",ROUND(E251*0.2,2))</f>
        <v/>
      </c>
      <c r="G251" s="40" t="str">
        <f aca="false">IF(E251="","",E251+F251)</f>
        <v/>
      </c>
      <c r="H251" s="37"/>
      <c r="I251" s="37"/>
      <c r="J251" s="37" t="str">
        <f aca="false">IF(A251="","",MONTH(A251))</f>
        <v/>
      </c>
      <c r="K251" s="37" t="str">
        <f aca="false">IF(A251="","",YEAR(A251))</f>
        <v/>
      </c>
      <c r="L251" s="37"/>
    </row>
    <row r="252" customFormat="false" ht="21.75" hidden="false" customHeight="true" outlineLevel="0" collapsed="false">
      <c r="A252" s="42"/>
      <c r="B252" s="42"/>
      <c r="C252" s="42"/>
      <c r="D252" s="42"/>
      <c r="E252" s="42"/>
      <c r="F252" s="45" t="str">
        <f aca="false">IF(E252="","",ROUND(E252*0.2,2))</f>
        <v/>
      </c>
      <c r="G252" s="45" t="str">
        <f aca="false">IF(E252="","",E252+F252)</f>
        <v/>
      </c>
      <c r="H252" s="42"/>
      <c r="I252" s="42"/>
      <c r="J252" s="42" t="str">
        <f aca="false">IF(A252="","",MONTH(A252))</f>
        <v/>
      </c>
      <c r="K252" s="42" t="str">
        <f aca="false">IF(A252="","",YEAR(A252))</f>
        <v/>
      </c>
      <c r="L252" s="42"/>
    </row>
    <row r="253" customFormat="false" ht="21.75" hidden="false" customHeight="true" outlineLevel="0" collapsed="false">
      <c r="A253" s="37"/>
      <c r="B253" s="37"/>
      <c r="C253" s="37"/>
      <c r="D253" s="37"/>
      <c r="E253" s="37"/>
      <c r="F253" s="40" t="str">
        <f aca="false">IF(E253="","",ROUND(E253*0.2,2))</f>
        <v/>
      </c>
      <c r="G253" s="40" t="str">
        <f aca="false">IF(E253="","",E253+F253)</f>
        <v/>
      </c>
      <c r="H253" s="37"/>
      <c r="I253" s="37"/>
      <c r="J253" s="37" t="str">
        <f aca="false">IF(A253="","",MONTH(A253))</f>
        <v/>
      </c>
      <c r="K253" s="37" t="str">
        <f aca="false">IF(A253="","",YEAR(A253))</f>
        <v/>
      </c>
      <c r="L253" s="37"/>
    </row>
    <row r="254" customFormat="false" ht="21.75" hidden="false" customHeight="true" outlineLevel="0" collapsed="false">
      <c r="A254" s="42"/>
      <c r="B254" s="42"/>
      <c r="C254" s="42"/>
      <c r="D254" s="42"/>
      <c r="E254" s="42"/>
      <c r="F254" s="45" t="str">
        <f aca="false">IF(E254="","",ROUND(E254*0.2,2))</f>
        <v/>
      </c>
      <c r="G254" s="45" t="str">
        <f aca="false">IF(E254="","",E254+F254)</f>
        <v/>
      </c>
      <c r="H254" s="42"/>
      <c r="I254" s="42"/>
      <c r="J254" s="42" t="str">
        <f aca="false">IF(A254="","",MONTH(A254))</f>
        <v/>
      </c>
      <c r="K254" s="42" t="str">
        <f aca="false">IF(A254="","",YEAR(A254))</f>
        <v/>
      </c>
      <c r="L254" s="42"/>
    </row>
    <row r="255" customFormat="false" ht="21.75" hidden="false" customHeight="true" outlineLevel="0" collapsed="false">
      <c r="A255" s="37"/>
      <c r="B255" s="37"/>
      <c r="C255" s="37"/>
      <c r="D255" s="37"/>
      <c r="E255" s="37"/>
      <c r="F255" s="40" t="str">
        <f aca="false">IF(E255="","",ROUND(E255*0.2,2))</f>
        <v/>
      </c>
      <c r="G255" s="40" t="str">
        <f aca="false">IF(E255="","",E255+F255)</f>
        <v/>
      </c>
      <c r="H255" s="37"/>
      <c r="I255" s="37"/>
      <c r="J255" s="37" t="str">
        <f aca="false">IF(A255="","",MONTH(A255))</f>
        <v/>
      </c>
      <c r="K255" s="37" t="str">
        <f aca="false">IF(A255="","",YEAR(A255))</f>
        <v/>
      </c>
      <c r="L255" s="37"/>
    </row>
    <row r="256" customFormat="false" ht="21.75" hidden="false" customHeight="true" outlineLevel="0" collapsed="false">
      <c r="A256" s="42"/>
      <c r="B256" s="42"/>
      <c r="C256" s="42"/>
      <c r="D256" s="42"/>
      <c r="E256" s="42"/>
      <c r="F256" s="45" t="str">
        <f aca="false">IF(E256="","",ROUND(E256*0.2,2))</f>
        <v/>
      </c>
      <c r="G256" s="45" t="str">
        <f aca="false">IF(E256="","",E256+F256)</f>
        <v/>
      </c>
      <c r="H256" s="42"/>
      <c r="I256" s="42"/>
      <c r="J256" s="42" t="str">
        <f aca="false">IF(A256="","",MONTH(A256))</f>
        <v/>
      </c>
      <c r="K256" s="42" t="str">
        <f aca="false">IF(A256="","",YEAR(A256))</f>
        <v/>
      </c>
      <c r="L256" s="42"/>
    </row>
    <row r="257" customFormat="false" ht="21.75" hidden="false" customHeight="true" outlineLevel="0" collapsed="false">
      <c r="A257" s="37"/>
      <c r="B257" s="37"/>
      <c r="C257" s="37"/>
      <c r="D257" s="37"/>
      <c r="E257" s="37"/>
      <c r="F257" s="40" t="str">
        <f aca="false">IF(E257="","",ROUND(E257*0.2,2))</f>
        <v/>
      </c>
      <c r="G257" s="40" t="str">
        <f aca="false">IF(E257="","",E257+F257)</f>
        <v/>
      </c>
      <c r="H257" s="37"/>
      <c r="I257" s="37"/>
      <c r="J257" s="37" t="str">
        <f aca="false">IF(A257="","",MONTH(A257))</f>
        <v/>
      </c>
      <c r="K257" s="37" t="str">
        <f aca="false">IF(A257="","",YEAR(A257))</f>
        <v/>
      </c>
      <c r="L257" s="37"/>
    </row>
    <row r="258" customFormat="false" ht="21.75" hidden="false" customHeight="true" outlineLevel="0" collapsed="false">
      <c r="A258" s="42"/>
      <c r="B258" s="42"/>
      <c r="C258" s="42"/>
      <c r="D258" s="42"/>
      <c r="E258" s="42"/>
      <c r="F258" s="45" t="str">
        <f aca="false">IF(E258="","",ROUND(E258*0.2,2))</f>
        <v/>
      </c>
      <c r="G258" s="45" t="str">
        <f aca="false">IF(E258="","",E258+F258)</f>
        <v/>
      </c>
      <c r="H258" s="42"/>
      <c r="I258" s="42"/>
      <c r="J258" s="42" t="str">
        <f aca="false">IF(A258="","",MONTH(A258))</f>
        <v/>
      </c>
      <c r="K258" s="42" t="str">
        <f aca="false">IF(A258="","",YEAR(A258))</f>
        <v/>
      </c>
      <c r="L258" s="42"/>
    </row>
    <row r="259" customFormat="false" ht="21.75" hidden="false" customHeight="true" outlineLevel="0" collapsed="false">
      <c r="A259" s="37"/>
      <c r="B259" s="37"/>
      <c r="C259" s="37"/>
      <c r="D259" s="37"/>
      <c r="E259" s="37"/>
      <c r="F259" s="40" t="str">
        <f aca="false">IF(E259="","",ROUND(E259*0.2,2))</f>
        <v/>
      </c>
      <c r="G259" s="40" t="str">
        <f aca="false">IF(E259="","",E259+F259)</f>
        <v/>
      </c>
      <c r="H259" s="37"/>
      <c r="I259" s="37"/>
      <c r="J259" s="37" t="str">
        <f aca="false">IF(A259="","",MONTH(A259))</f>
        <v/>
      </c>
      <c r="K259" s="37" t="str">
        <f aca="false">IF(A259="","",YEAR(A259))</f>
        <v/>
      </c>
      <c r="L259" s="37"/>
    </row>
    <row r="260" customFormat="false" ht="21.75" hidden="false" customHeight="true" outlineLevel="0" collapsed="false">
      <c r="A260" s="42"/>
      <c r="B260" s="42"/>
      <c r="C260" s="42"/>
      <c r="D260" s="42"/>
      <c r="E260" s="42"/>
      <c r="F260" s="45" t="str">
        <f aca="false">IF(E260="","",ROUND(E260*0.2,2))</f>
        <v/>
      </c>
      <c r="G260" s="45" t="str">
        <f aca="false">IF(E260="","",E260+F260)</f>
        <v/>
      </c>
      <c r="H260" s="42"/>
      <c r="I260" s="42"/>
      <c r="J260" s="42" t="str">
        <f aca="false">IF(A260="","",MONTH(A260))</f>
        <v/>
      </c>
      <c r="K260" s="42" t="str">
        <f aca="false">IF(A260="","",YEAR(A260))</f>
        <v/>
      </c>
      <c r="L260" s="42"/>
    </row>
    <row r="261" customFormat="false" ht="21.75" hidden="false" customHeight="true" outlineLevel="0" collapsed="false">
      <c r="A261" s="37"/>
      <c r="B261" s="37"/>
      <c r="C261" s="37"/>
      <c r="D261" s="37"/>
      <c r="E261" s="37"/>
      <c r="F261" s="40" t="str">
        <f aca="false">IF(E261="","",ROUND(E261*0.2,2))</f>
        <v/>
      </c>
      <c r="G261" s="40" t="str">
        <f aca="false">IF(E261="","",E261+F261)</f>
        <v/>
      </c>
      <c r="H261" s="37"/>
      <c r="I261" s="37"/>
      <c r="J261" s="37" t="str">
        <f aca="false">IF(A261="","",MONTH(A261))</f>
        <v/>
      </c>
      <c r="K261" s="37" t="str">
        <f aca="false">IF(A261="","",YEAR(A261))</f>
        <v/>
      </c>
      <c r="L261" s="37"/>
    </row>
    <row r="262" customFormat="false" ht="21.75" hidden="false" customHeight="true" outlineLevel="0" collapsed="false">
      <c r="A262" s="42"/>
      <c r="B262" s="42"/>
      <c r="C262" s="42"/>
      <c r="D262" s="42"/>
      <c r="E262" s="42"/>
      <c r="F262" s="45" t="str">
        <f aca="false">IF(E262="","",ROUND(E262*0.2,2))</f>
        <v/>
      </c>
      <c r="G262" s="45" t="str">
        <f aca="false">IF(E262="","",E262+F262)</f>
        <v/>
      </c>
      <c r="H262" s="42"/>
      <c r="I262" s="42"/>
      <c r="J262" s="42" t="str">
        <f aca="false">IF(A262="","",MONTH(A262))</f>
        <v/>
      </c>
      <c r="K262" s="42" t="str">
        <f aca="false">IF(A262="","",YEAR(A262))</f>
        <v/>
      </c>
      <c r="L262" s="42"/>
    </row>
    <row r="263" customFormat="false" ht="21.75" hidden="false" customHeight="true" outlineLevel="0" collapsed="false">
      <c r="A263" s="37"/>
      <c r="B263" s="37"/>
      <c r="C263" s="37"/>
      <c r="D263" s="37"/>
      <c r="E263" s="37"/>
      <c r="F263" s="40" t="str">
        <f aca="false">IF(E263="","",ROUND(E263*0.2,2))</f>
        <v/>
      </c>
      <c r="G263" s="40" t="str">
        <f aca="false">IF(E263="","",E263+F263)</f>
        <v/>
      </c>
      <c r="H263" s="37"/>
      <c r="I263" s="37"/>
      <c r="J263" s="37" t="str">
        <f aca="false">IF(A263="","",MONTH(A263))</f>
        <v/>
      </c>
      <c r="K263" s="37" t="str">
        <f aca="false">IF(A263="","",YEAR(A263))</f>
        <v/>
      </c>
      <c r="L263" s="37"/>
    </row>
    <row r="264" customFormat="false" ht="21.75" hidden="false" customHeight="true" outlineLevel="0" collapsed="false">
      <c r="A264" s="42"/>
      <c r="B264" s="42"/>
      <c r="C264" s="42"/>
      <c r="D264" s="42"/>
      <c r="E264" s="42"/>
      <c r="F264" s="45" t="str">
        <f aca="false">IF(E264="","",ROUND(E264*0.2,2))</f>
        <v/>
      </c>
      <c r="G264" s="45" t="str">
        <f aca="false">IF(E264="","",E264+F264)</f>
        <v/>
      </c>
      <c r="H264" s="42"/>
      <c r="I264" s="42"/>
      <c r="J264" s="42" t="str">
        <f aca="false">IF(A264="","",MONTH(A264))</f>
        <v/>
      </c>
      <c r="K264" s="42" t="str">
        <f aca="false">IF(A264="","",YEAR(A264))</f>
        <v/>
      </c>
      <c r="L264" s="42"/>
    </row>
    <row r="265" customFormat="false" ht="21.75" hidden="false" customHeight="true" outlineLevel="0" collapsed="false">
      <c r="A265" s="37"/>
      <c r="B265" s="37"/>
      <c r="C265" s="37"/>
      <c r="D265" s="37"/>
      <c r="E265" s="37"/>
      <c r="F265" s="40" t="str">
        <f aca="false">IF(E265="","",ROUND(E265*0.2,2))</f>
        <v/>
      </c>
      <c r="G265" s="40" t="str">
        <f aca="false">IF(E265="","",E265+F265)</f>
        <v/>
      </c>
      <c r="H265" s="37"/>
      <c r="I265" s="37"/>
      <c r="J265" s="37" t="str">
        <f aca="false">IF(A265="","",MONTH(A265))</f>
        <v/>
      </c>
      <c r="K265" s="37" t="str">
        <f aca="false">IF(A265="","",YEAR(A265))</f>
        <v/>
      </c>
      <c r="L265" s="37"/>
    </row>
    <row r="266" customFormat="false" ht="21.75" hidden="false" customHeight="true" outlineLevel="0" collapsed="false">
      <c r="A266" s="42"/>
      <c r="B266" s="42"/>
      <c r="C266" s="42"/>
      <c r="D266" s="42"/>
      <c r="E266" s="42"/>
      <c r="F266" s="45" t="str">
        <f aca="false">IF(E266="","",ROUND(E266*0.2,2))</f>
        <v/>
      </c>
      <c r="G266" s="45" t="str">
        <f aca="false">IF(E266="","",E266+F266)</f>
        <v/>
      </c>
      <c r="H266" s="42"/>
      <c r="I266" s="42"/>
      <c r="J266" s="42" t="str">
        <f aca="false">IF(A266="","",MONTH(A266))</f>
        <v/>
      </c>
      <c r="K266" s="42" t="str">
        <f aca="false">IF(A266="","",YEAR(A266))</f>
        <v/>
      </c>
      <c r="L266" s="42"/>
    </row>
    <row r="267" customFormat="false" ht="21.75" hidden="false" customHeight="true" outlineLevel="0" collapsed="false">
      <c r="A267" s="37"/>
      <c r="B267" s="37"/>
      <c r="C267" s="37"/>
      <c r="D267" s="37"/>
      <c r="E267" s="37"/>
      <c r="F267" s="40" t="str">
        <f aca="false">IF(E267="","",ROUND(E267*0.2,2))</f>
        <v/>
      </c>
      <c r="G267" s="40" t="str">
        <f aca="false">IF(E267="","",E267+F267)</f>
        <v/>
      </c>
      <c r="H267" s="37"/>
      <c r="I267" s="37"/>
      <c r="J267" s="37" t="str">
        <f aca="false">IF(A267="","",MONTH(A267))</f>
        <v/>
      </c>
      <c r="K267" s="37" t="str">
        <f aca="false">IF(A267="","",YEAR(A267))</f>
        <v/>
      </c>
      <c r="L267" s="37"/>
    </row>
    <row r="268" customFormat="false" ht="21.75" hidden="false" customHeight="true" outlineLevel="0" collapsed="false">
      <c r="A268" s="42"/>
      <c r="B268" s="42"/>
      <c r="C268" s="42"/>
      <c r="D268" s="42"/>
      <c r="E268" s="42"/>
      <c r="F268" s="45" t="str">
        <f aca="false">IF(E268="","",ROUND(E268*0.2,2))</f>
        <v/>
      </c>
      <c r="G268" s="45" t="str">
        <f aca="false">IF(E268="","",E268+F268)</f>
        <v/>
      </c>
      <c r="H268" s="42"/>
      <c r="I268" s="42"/>
      <c r="J268" s="42" t="str">
        <f aca="false">IF(A268="","",MONTH(A268))</f>
        <v/>
      </c>
      <c r="K268" s="42" t="str">
        <f aca="false">IF(A268="","",YEAR(A268))</f>
        <v/>
      </c>
      <c r="L268" s="42"/>
    </row>
    <row r="269" customFormat="false" ht="21.75" hidden="false" customHeight="true" outlineLevel="0" collapsed="false">
      <c r="A269" s="37"/>
      <c r="B269" s="37"/>
      <c r="C269" s="37"/>
      <c r="D269" s="37"/>
      <c r="E269" s="37"/>
      <c r="F269" s="40" t="str">
        <f aca="false">IF(E269="","",ROUND(E269*0.2,2))</f>
        <v/>
      </c>
      <c r="G269" s="40" t="str">
        <f aca="false">IF(E269="","",E269+F269)</f>
        <v/>
      </c>
      <c r="H269" s="37"/>
      <c r="I269" s="37"/>
      <c r="J269" s="37" t="str">
        <f aca="false">IF(A269="","",MONTH(A269))</f>
        <v/>
      </c>
      <c r="K269" s="37" t="str">
        <f aca="false">IF(A269="","",YEAR(A269))</f>
        <v/>
      </c>
      <c r="L269" s="37"/>
    </row>
    <row r="270" customFormat="false" ht="21.75" hidden="false" customHeight="true" outlineLevel="0" collapsed="false">
      <c r="A270" s="42"/>
      <c r="B270" s="42"/>
      <c r="C270" s="42"/>
      <c r="D270" s="42"/>
      <c r="E270" s="42"/>
      <c r="F270" s="45" t="str">
        <f aca="false">IF(E270="","",ROUND(E270*0.2,2))</f>
        <v/>
      </c>
      <c r="G270" s="45" t="str">
        <f aca="false">IF(E270="","",E270+F270)</f>
        <v/>
      </c>
      <c r="H270" s="42"/>
      <c r="I270" s="42"/>
      <c r="J270" s="42" t="str">
        <f aca="false">IF(A270="","",MONTH(A270))</f>
        <v/>
      </c>
      <c r="K270" s="42" t="str">
        <f aca="false">IF(A270="","",YEAR(A270))</f>
        <v/>
      </c>
      <c r="L270" s="42"/>
    </row>
    <row r="271" customFormat="false" ht="21.75" hidden="false" customHeight="true" outlineLevel="0" collapsed="false">
      <c r="A271" s="37"/>
      <c r="B271" s="37"/>
      <c r="C271" s="37"/>
      <c r="D271" s="37"/>
      <c r="E271" s="37"/>
      <c r="F271" s="40" t="str">
        <f aca="false">IF(E271="","",ROUND(E271*0.2,2))</f>
        <v/>
      </c>
      <c r="G271" s="40" t="str">
        <f aca="false">IF(E271="","",E271+F271)</f>
        <v/>
      </c>
      <c r="H271" s="37"/>
      <c r="I271" s="37"/>
      <c r="J271" s="37" t="str">
        <f aca="false">IF(A271="","",MONTH(A271))</f>
        <v/>
      </c>
      <c r="K271" s="37" t="str">
        <f aca="false">IF(A271="","",YEAR(A271))</f>
        <v/>
      </c>
      <c r="L271" s="37"/>
    </row>
    <row r="272" customFormat="false" ht="21.75" hidden="false" customHeight="true" outlineLevel="0" collapsed="false">
      <c r="A272" s="42"/>
      <c r="B272" s="42"/>
      <c r="C272" s="42"/>
      <c r="D272" s="42"/>
      <c r="E272" s="42"/>
      <c r="F272" s="45" t="str">
        <f aca="false">IF(E272="","",ROUND(E272*0.2,2))</f>
        <v/>
      </c>
      <c r="G272" s="45" t="str">
        <f aca="false">IF(E272="","",E272+F272)</f>
        <v/>
      </c>
      <c r="H272" s="42"/>
      <c r="I272" s="42"/>
      <c r="J272" s="42" t="str">
        <f aca="false">IF(A272="","",MONTH(A272))</f>
        <v/>
      </c>
      <c r="K272" s="42" t="str">
        <f aca="false">IF(A272="","",YEAR(A272))</f>
        <v/>
      </c>
      <c r="L272" s="42"/>
    </row>
    <row r="273" customFormat="false" ht="21.75" hidden="false" customHeight="true" outlineLevel="0" collapsed="false">
      <c r="A273" s="37"/>
      <c r="B273" s="37"/>
      <c r="C273" s="37"/>
      <c r="D273" s="37"/>
      <c r="E273" s="37"/>
      <c r="F273" s="40" t="str">
        <f aca="false">IF(E273="","",ROUND(E273*0.2,2))</f>
        <v/>
      </c>
      <c r="G273" s="40" t="str">
        <f aca="false">IF(E273="","",E273+F273)</f>
        <v/>
      </c>
      <c r="H273" s="37"/>
      <c r="I273" s="37"/>
      <c r="J273" s="37" t="str">
        <f aca="false">IF(A273="","",MONTH(A273))</f>
        <v/>
      </c>
      <c r="K273" s="37" t="str">
        <f aca="false">IF(A273="","",YEAR(A273))</f>
        <v/>
      </c>
      <c r="L273" s="37"/>
    </row>
    <row r="274" customFormat="false" ht="21.75" hidden="false" customHeight="true" outlineLevel="0" collapsed="false">
      <c r="A274" s="42"/>
      <c r="B274" s="42"/>
      <c r="C274" s="42"/>
      <c r="D274" s="42"/>
      <c r="E274" s="42"/>
      <c r="F274" s="45" t="str">
        <f aca="false">IF(E274="","",ROUND(E274*0.2,2))</f>
        <v/>
      </c>
      <c r="G274" s="45" t="str">
        <f aca="false">IF(E274="","",E274+F274)</f>
        <v/>
      </c>
      <c r="H274" s="42"/>
      <c r="I274" s="42"/>
      <c r="J274" s="42" t="str">
        <f aca="false">IF(A274="","",MONTH(A274))</f>
        <v/>
      </c>
      <c r="K274" s="42" t="str">
        <f aca="false">IF(A274="","",YEAR(A274))</f>
        <v/>
      </c>
      <c r="L274" s="42"/>
    </row>
    <row r="275" customFormat="false" ht="21.75" hidden="false" customHeight="true" outlineLevel="0" collapsed="false">
      <c r="A275" s="37"/>
      <c r="B275" s="37"/>
      <c r="C275" s="37"/>
      <c r="D275" s="37"/>
      <c r="E275" s="37"/>
      <c r="F275" s="40" t="str">
        <f aca="false">IF(E275="","",ROUND(E275*0.2,2))</f>
        <v/>
      </c>
      <c r="G275" s="40" t="str">
        <f aca="false">IF(E275="","",E275+F275)</f>
        <v/>
      </c>
      <c r="H275" s="37"/>
      <c r="I275" s="37"/>
      <c r="J275" s="37" t="str">
        <f aca="false">IF(A275="","",MONTH(A275))</f>
        <v/>
      </c>
      <c r="K275" s="37" t="str">
        <f aca="false">IF(A275="","",YEAR(A275))</f>
        <v/>
      </c>
      <c r="L275" s="37"/>
    </row>
    <row r="276" customFormat="false" ht="21.75" hidden="false" customHeight="true" outlineLevel="0" collapsed="false">
      <c r="A276" s="42"/>
      <c r="B276" s="42"/>
      <c r="C276" s="42"/>
      <c r="D276" s="42"/>
      <c r="E276" s="42"/>
      <c r="F276" s="45" t="str">
        <f aca="false">IF(E276="","",ROUND(E276*0.2,2))</f>
        <v/>
      </c>
      <c r="G276" s="45" t="str">
        <f aca="false">IF(E276="","",E276+F276)</f>
        <v/>
      </c>
      <c r="H276" s="42"/>
      <c r="I276" s="42"/>
      <c r="J276" s="42" t="str">
        <f aca="false">IF(A276="","",MONTH(A276))</f>
        <v/>
      </c>
      <c r="K276" s="42" t="str">
        <f aca="false">IF(A276="","",YEAR(A276))</f>
        <v/>
      </c>
      <c r="L276" s="42"/>
    </row>
    <row r="277" customFormat="false" ht="21.75" hidden="false" customHeight="true" outlineLevel="0" collapsed="false">
      <c r="A277" s="37"/>
      <c r="B277" s="37"/>
      <c r="C277" s="37"/>
      <c r="D277" s="37"/>
      <c r="E277" s="37"/>
      <c r="F277" s="40" t="str">
        <f aca="false">IF(E277="","",ROUND(E277*0.2,2))</f>
        <v/>
      </c>
      <c r="G277" s="40" t="str">
        <f aca="false">IF(E277="","",E277+F277)</f>
        <v/>
      </c>
      <c r="H277" s="37"/>
      <c r="I277" s="37"/>
      <c r="J277" s="37" t="str">
        <f aca="false">IF(A277="","",MONTH(A277))</f>
        <v/>
      </c>
      <c r="K277" s="37" t="str">
        <f aca="false">IF(A277="","",YEAR(A277))</f>
        <v/>
      </c>
      <c r="L277" s="37"/>
    </row>
    <row r="278" customFormat="false" ht="21.75" hidden="false" customHeight="true" outlineLevel="0" collapsed="false">
      <c r="A278" s="42"/>
      <c r="B278" s="42"/>
      <c r="C278" s="42"/>
      <c r="D278" s="42"/>
      <c r="E278" s="42"/>
      <c r="F278" s="45" t="str">
        <f aca="false">IF(E278="","",ROUND(E278*0.2,2))</f>
        <v/>
      </c>
      <c r="G278" s="45" t="str">
        <f aca="false">IF(E278="","",E278+F278)</f>
        <v/>
      </c>
      <c r="H278" s="42"/>
      <c r="I278" s="42"/>
      <c r="J278" s="42" t="str">
        <f aca="false">IF(A278="","",MONTH(A278))</f>
        <v/>
      </c>
      <c r="K278" s="42" t="str">
        <f aca="false">IF(A278="","",YEAR(A278))</f>
        <v/>
      </c>
      <c r="L278" s="42"/>
    </row>
    <row r="279" customFormat="false" ht="21.75" hidden="false" customHeight="true" outlineLevel="0" collapsed="false">
      <c r="A279" s="37"/>
      <c r="B279" s="37"/>
      <c r="C279" s="37"/>
      <c r="D279" s="37"/>
      <c r="E279" s="37"/>
      <c r="F279" s="40" t="str">
        <f aca="false">IF(E279="","",ROUND(E279*0.2,2))</f>
        <v/>
      </c>
      <c r="G279" s="40" t="str">
        <f aca="false">IF(E279="","",E279+F279)</f>
        <v/>
      </c>
      <c r="H279" s="37"/>
      <c r="I279" s="37"/>
      <c r="J279" s="37" t="str">
        <f aca="false">IF(A279="","",MONTH(A279))</f>
        <v/>
      </c>
      <c r="K279" s="37" t="str">
        <f aca="false">IF(A279="","",YEAR(A279))</f>
        <v/>
      </c>
      <c r="L279" s="37"/>
    </row>
    <row r="280" customFormat="false" ht="21.75" hidden="false" customHeight="true" outlineLevel="0" collapsed="false">
      <c r="A280" s="42"/>
      <c r="B280" s="42"/>
      <c r="C280" s="42"/>
      <c r="D280" s="42"/>
      <c r="E280" s="42"/>
      <c r="F280" s="45" t="str">
        <f aca="false">IF(E280="","",ROUND(E280*0.2,2))</f>
        <v/>
      </c>
      <c r="G280" s="45" t="str">
        <f aca="false">IF(E280="","",E280+F280)</f>
        <v/>
      </c>
      <c r="H280" s="42"/>
      <c r="I280" s="42"/>
      <c r="J280" s="42" t="str">
        <f aca="false">IF(A280="","",MONTH(A280))</f>
        <v/>
      </c>
      <c r="K280" s="42" t="str">
        <f aca="false">IF(A280="","",YEAR(A280))</f>
        <v/>
      </c>
      <c r="L280" s="42"/>
    </row>
    <row r="281" customFormat="false" ht="21.75" hidden="false" customHeight="true" outlineLevel="0" collapsed="false">
      <c r="A281" s="37"/>
      <c r="B281" s="37"/>
      <c r="C281" s="37"/>
      <c r="D281" s="37"/>
      <c r="E281" s="37"/>
      <c r="F281" s="40" t="str">
        <f aca="false">IF(E281="","",ROUND(E281*0.2,2))</f>
        <v/>
      </c>
      <c r="G281" s="40" t="str">
        <f aca="false">IF(E281="","",E281+F281)</f>
        <v/>
      </c>
      <c r="H281" s="37"/>
      <c r="I281" s="37"/>
      <c r="J281" s="37" t="str">
        <f aca="false">IF(A281="","",MONTH(A281))</f>
        <v/>
      </c>
      <c r="K281" s="37" t="str">
        <f aca="false">IF(A281="","",YEAR(A281))</f>
        <v/>
      </c>
      <c r="L281" s="37"/>
    </row>
    <row r="282" customFormat="false" ht="21.75" hidden="false" customHeight="true" outlineLevel="0" collapsed="false">
      <c r="A282" s="42"/>
      <c r="B282" s="42"/>
      <c r="C282" s="42"/>
      <c r="D282" s="42"/>
      <c r="E282" s="42"/>
      <c r="F282" s="45" t="str">
        <f aca="false">IF(E282="","",ROUND(E282*0.2,2))</f>
        <v/>
      </c>
      <c r="G282" s="45" t="str">
        <f aca="false">IF(E282="","",E282+F282)</f>
        <v/>
      </c>
      <c r="H282" s="42"/>
      <c r="I282" s="42"/>
      <c r="J282" s="42" t="str">
        <f aca="false">IF(A282="","",MONTH(A282))</f>
        <v/>
      </c>
      <c r="K282" s="42" t="str">
        <f aca="false">IF(A282="","",YEAR(A282))</f>
        <v/>
      </c>
      <c r="L282" s="42"/>
    </row>
    <row r="283" customFormat="false" ht="21.75" hidden="false" customHeight="true" outlineLevel="0" collapsed="false">
      <c r="A283" s="37"/>
      <c r="B283" s="37"/>
      <c r="C283" s="37"/>
      <c r="D283" s="37"/>
      <c r="E283" s="37"/>
      <c r="F283" s="40" t="str">
        <f aca="false">IF(E283="","",ROUND(E283*0.2,2))</f>
        <v/>
      </c>
      <c r="G283" s="40" t="str">
        <f aca="false">IF(E283="","",E283+F283)</f>
        <v/>
      </c>
      <c r="H283" s="37"/>
      <c r="I283" s="37"/>
      <c r="J283" s="37" t="str">
        <f aca="false">IF(A283="","",MONTH(A283))</f>
        <v/>
      </c>
      <c r="K283" s="37" t="str">
        <f aca="false">IF(A283="","",YEAR(A283))</f>
        <v/>
      </c>
      <c r="L283" s="37"/>
    </row>
    <row r="284" customFormat="false" ht="21.75" hidden="false" customHeight="true" outlineLevel="0" collapsed="false">
      <c r="A284" s="42"/>
      <c r="B284" s="42"/>
      <c r="C284" s="42"/>
      <c r="D284" s="42"/>
      <c r="E284" s="42"/>
      <c r="F284" s="45" t="str">
        <f aca="false">IF(E284="","",ROUND(E284*0.2,2))</f>
        <v/>
      </c>
      <c r="G284" s="45" t="str">
        <f aca="false">IF(E284="","",E284+F284)</f>
        <v/>
      </c>
      <c r="H284" s="42"/>
      <c r="I284" s="42"/>
      <c r="J284" s="42" t="str">
        <f aca="false">IF(A284="","",MONTH(A284))</f>
        <v/>
      </c>
      <c r="K284" s="42" t="str">
        <f aca="false">IF(A284="","",YEAR(A284))</f>
        <v/>
      </c>
      <c r="L284" s="42"/>
    </row>
    <row r="285" customFormat="false" ht="21.75" hidden="false" customHeight="true" outlineLevel="0" collapsed="false">
      <c r="A285" s="37"/>
      <c r="B285" s="37"/>
      <c r="C285" s="37"/>
      <c r="D285" s="37"/>
      <c r="E285" s="37"/>
      <c r="F285" s="40" t="str">
        <f aca="false">IF(E285="","",ROUND(E285*0.2,2))</f>
        <v/>
      </c>
      <c r="G285" s="40" t="str">
        <f aca="false">IF(E285="","",E285+F285)</f>
        <v/>
      </c>
      <c r="H285" s="37"/>
      <c r="I285" s="37"/>
      <c r="J285" s="37" t="str">
        <f aca="false">IF(A285="","",MONTH(A285))</f>
        <v/>
      </c>
      <c r="K285" s="37" t="str">
        <f aca="false">IF(A285="","",YEAR(A285))</f>
        <v/>
      </c>
      <c r="L285" s="37"/>
    </row>
    <row r="286" customFormat="false" ht="21.75" hidden="false" customHeight="true" outlineLevel="0" collapsed="false">
      <c r="A286" s="42"/>
      <c r="B286" s="42"/>
      <c r="C286" s="42"/>
      <c r="D286" s="42"/>
      <c r="E286" s="42"/>
      <c r="F286" s="45" t="str">
        <f aca="false">IF(E286="","",ROUND(E286*0.2,2))</f>
        <v/>
      </c>
      <c r="G286" s="45" t="str">
        <f aca="false">IF(E286="","",E286+F286)</f>
        <v/>
      </c>
      <c r="H286" s="42"/>
      <c r="I286" s="42"/>
      <c r="J286" s="42" t="str">
        <f aca="false">IF(A286="","",MONTH(A286))</f>
        <v/>
      </c>
      <c r="K286" s="42" t="str">
        <f aca="false">IF(A286="","",YEAR(A286))</f>
        <v/>
      </c>
      <c r="L286" s="42"/>
    </row>
    <row r="287" customFormat="false" ht="21.75" hidden="false" customHeight="true" outlineLevel="0" collapsed="false">
      <c r="A287" s="37"/>
      <c r="B287" s="37"/>
      <c r="C287" s="37"/>
      <c r="D287" s="37"/>
      <c r="E287" s="37"/>
      <c r="F287" s="40" t="str">
        <f aca="false">IF(E287="","",ROUND(E287*0.2,2))</f>
        <v/>
      </c>
      <c r="G287" s="40" t="str">
        <f aca="false">IF(E287="","",E287+F287)</f>
        <v/>
      </c>
      <c r="H287" s="37"/>
      <c r="I287" s="37"/>
      <c r="J287" s="37" t="str">
        <f aca="false">IF(A287="","",MONTH(A287))</f>
        <v/>
      </c>
      <c r="K287" s="37" t="str">
        <f aca="false">IF(A287="","",YEAR(A287))</f>
        <v/>
      </c>
      <c r="L287" s="37"/>
    </row>
    <row r="288" customFormat="false" ht="21.75" hidden="false" customHeight="true" outlineLevel="0" collapsed="false">
      <c r="A288" s="42"/>
      <c r="B288" s="42"/>
      <c r="C288" s="42"/>
      <c r="D288" s="42"/>
      <c r="E288" s="42"/>
      <c r="F288" s="45" t="str">
        <f aca="false">IF(E288="","",ROUND(E288*0.2,2))</f>
        <v/>
      </c>
      <c r="G288" s="45" t="str">
        <f aca="false">IF(E288="","",E288+F288)</f>
        <v/>
      </c>
      <c r="H288" s="42"/>
      <c r="I288" s="42"/>
      <c r="J288" s="42" t="str">
        <f aca="false">IF(A288="","",MONTH(A288))</f>
        <v/>
      </c>
      <c r="K288" s="42" t="str">
        <f aca="false">IF(A288="","",YEAR(A288))</f>
        <v/>
      </c>
      <c r="L288" s="42"/>
    </row>
    <row r="289" customFormat="false" ht="21.75" hidden="false" customHeight="true" outlineLevel="0" collapsed="false">
      <c r="A289" s="37"/>
      <c r="B289" s="37"/>
      <c r="C289" s="37"/>
      <c r="D289" s="37"/>
      <c r="E289" s="37"/>
      <c r="F289" s="40" t="str">
        <f aca="false">IF(E289="","",ROUND(E289*0.2,2))</f>
        <v/>
      </c>
      <c r="G289" s="40" t="str">
        <f aca="false">IF(E289="","",E289+F289)</f>
        <v/>
      </c>
      <c r="H289" s="37"/>
      <c r="I289" s="37"/>
      <c r="J289" s="37" t="str">
        <f aca="false">IF(A289="","",MONTH(A289))</f>
        <v/>
      </c>
      <c r="K289" s="37" t="str">
        <f aca="false">IF(A289="","",YEAR(A289))</f>
        <v/>
      </c>
      <c r="L289" s="37"/>
    </row>
    <row r="290" customFormat="false" ht="21.75" hidden="false" customHeight="true" outlineLevel="0" collapsed="false">
      <c r="A290" s="42"/>
      <c r="B290" s="42"/>
      <c r="C290" s="42"/>
      <c r="D290" s="42"/>
      <c r="E290" s="42"/>
      <c r="F290" s="45" t="str">
        <f aca="false">IF(E290="","",ROUND(E290*0.2,2))</f>
        <v/>
      </c>
      <c r="G290" s="45" t="str">
        <f aca="false">IF(E290="","",E290+F290)</f>
        <v/>
      </c>
      <c r="H290" s="42"/>
      <c r="I290" s="42"/>
      <c r="J290" s="42" t="str">
        <f aca="false">IF(A290="","",MONTH(A290))</f>
        <v/>
      </c>
      <c r="K290" s="42" t="str">
        <f aca="false">IF(A290="","",YEAR(A290))</f>
        <v/>
      </c>
      <c r="L290" s="42"/>
    </row>
    <row r="291" customFormat="false" ht="21.75" hidden="false" customHeight="true" outlineLevel="0" collapsed="false">
      <c r="A291" s="37"/>
      <c r="B291" s="37"/>
      <c r="C291" s="37"/>
      <c r="D291" s="37"/>
      <c r="E291" s="37"/>
      <c r="F291" s="40" t="str">
        <f aca="false">IF(E291="","",ROUND(E291*0.2,2))</f>
        <v/>
      </c>
      <c r="G291" s="40" t="str">
        <f aca="false">IF(E291="","",E291+F291)</f>
        <v/>
      </c>
      <c r="H291" s="37"/>
      <c r="I291" s="37"/>
      <c r="J291" s="37" t="str">
        <f aca="false">IF(A291="","",MONTH(A291))</f>
        <v/>
      </c>
      <c r="K291" s="37" t="str">
        <f aca="false">IF(A291="","",YEAR(A291))</f>
        <v/>
      </c>
      <c r="L291" s="37"/>
    </row>
    <row r="292" customFormat="false" ht="21.75" hidden="false" customHeight="true" outlineLevel="0" collapsed="false">
      <c r="A292" s="42"/>
      <c r="B292" s="42"/>
      <c r="C292" s="42"/>
      <c r="D292" s="42"/>
      <c r="E292" s="42"/>
      <c r="F292" s="45" t="str">
        <f aca="false">IF(E292="","",ROUND(E292*0.2,2))</f>
        <v/>
      </c>
      <c r="G292" s="45" t="str">
        <f aca="false">IF(E292="","",E292+F292)</f>
        <v/>
      </c>
      <c r="H292" s="42"/>
      <c r="I292" s="42"/>
      <c r="J292" s="42" t="str">
        <f aca="false">IF(A292="","",MONTH(A292))</f>
        <v/>
      </c>
      <c r="K292" s="42" t="str">
        <f aca="false">IF(A292="","",YEAR(A292))</f>
        <v/>
      </c>
      <c r="L292" s="42"/>
    </row>
    <row r="293" customFormat="false" ht="21.75" hidden="false" customHeight="true" outlineLevel="0" collapsed="false">
      <c r="A293" s="37"/>
      <c r="B293" s="37"/>
      <c r="C293" s="37"/>
      <c r="D293" s="37"/>
      <c r="E293" s="37"/>
      <c r="F293" s="40" t="str">
        <f aca="false">IF(E293="","",ROUND(E293*0.2,2))</f>
        <v/>
      </c>
      <c r="G293" s="40" t="str">
        <f aca="false">IF(E293="","",E293+F293)</f>
        <v/>
      </c>
      <c r="H293" s="37"/>
      <c r="I293" s="37"/>
      <c r="J293" s="37" t="str">
        <f aca="false">IF(A293="","",MONTH(A293))</f>
        <v/>
      </c>
      <c r="K293" s="37" t="str">
        <f aca="false">IF(A293="","",YEAR(A293))</f>
        <v/>
      </c>
      <c r="L293" s="37"/>
    </row>
    <row r="294" customFormat="false" ht="21.75" hidden="false" customHeight="true" outlineLevel="0" collapsed="false">
      <c r="A294" s="42"/>
      <c r="B294" s="42"/>
      <c r="C294" s="42"/>
      <c r="D294" s="42"/>
      <c r="E294" s="42"/>
      <c r="F294" s="45" t="str">
        <f aca="false">IF(E294="","",ROUND(E294*0.2,2))</f>
        <v/>
      </c>
      <c r="G294" s="45" t="str">
        <f aca="false">IF(E294="","",E294+F294)</f>
        <v/>
      </c>
      <c r="H294" s="42"/>
      <c r="I294" s="42"/>
      <c r="J294" s="42" t="str">
        <f aca="false">IF(A294="","",MONTH(A294))</f>
        <v/>
      </c>
      <c r="K294" s="42" t="str">
        <f aca="false">IF(A294="","",YEAR(A294))</f>
        <v/>
      </c>
      <c r="L294" s="42"/>
    </row>
    <row r="295" customFormat="false" ht="21.75" hidden="false" customHeight="true" outlineLevel="0" collapsed="false">
      <c r="A295" s="37"/>
      <c r="B295" s="37"/>
      <c r="C295" s="37"/>
      <c r="D295" s="37"/>
      <c r="E295" s="37"/>
      <c r="F295" s="40" t="str">
        <f aca="false">IF(E295="","",ROUND(E295*0.2,2))</f>
        <v/>
      </c>
      <c r="G295" s="40" t="str">
        <f aca="false">IF(E295="","",E295+F295)</f>
        <v/>
      </c>
      <c r="H295" s="37"/>
      <c r="I295" s="37"/>
      <c r="J295" s="37" t="str">
        <f aca="false">IF(A295="","",MONTH(A295))</f>
        <v/>
      </c>
      <c r="K295" s="37" t="str">
        <f aca="false">IF(A295="","",YEAR(A295))</f>
        <v/>
      </c>
      <c r="L295" s="37"/>
    </row>
    <row r="296" customFormat="false" ht="21.75" hidden="false" customHeight="true" outlineLevel="0" collapsed="false">
      <c r="A296" s="42"/>
      <c r="B296" s="42"/>
      <c r="C296" s="42"/>
      <c r="D296" s="42"/>
      <c r="E296" s="42"/>
      <c r="F296" s="45" t="str">
        <f aca="false">IF(E296="","",ROUND(E296*0.2,2))</f>
        <v/>
      </c>
      <c r="G296" s="45" t="str">
        <f aca="false">IF(E296="","",E296+F296)</f>
        <v/>
      </c>
      <c r="H296" s="42"/>
      <c r="I296" s="42"/>
      <c r="J296" s="42" t="str">
        <f aca="false">IF(A296="","",MONTH(A296))</f>
        <v/>
      </c>
      <c r="K296" s="42" t="str">
        <f aca="false">IF(A296="","",YEAR(A296))</f>
        <v/>
      </c>
      <c r="L296" s="42"/>
    </row>
    <row r="297" customFormat="false" ht="21.75" hidden="false" customHeight="true" outlineLevel="0" collapsed="false">
      <c r="A297" s="37"/>
      <c r="B297" s="37"/>
      <c r="C297" s="37"/>
      <c r="D297" s="37"/>
      <c r="E297" s="37"/>
      <c r="F297" s="40" t="str">
        <f aca="false">IF(E297="","",ROUND(E297*0.2,2))</f>
        <v/>
      </c>
      <c r="G297" s="40" t="str">
        <f aca="false">IF(E297="","",E297+F297)</f>
        <v/>
      </c>
      <c r="H297" s="37"/>
      <c r="I297" s="37"/>
      <c r="J297" s="37" t="str">
        <f aca="false">IF(A297="","",MONTH(A297))</f>
        <v/>
      </c>
      <c r="K297" s="37" t="str">
        <f aca="false">IF(A297="","",YEAR(A297))</f>
        <v/>
      </c>
      <c r="L297" s="37"/>
    </row>
    <row r="298" customFormat="false" ht="21.75" hidden="false" customHeight="true" outlineLevel="0" collapsed="false">
      <c r="A298" s="42"/>
      <c r="B298" s="42"/>
      <c r="C298" s="42"/>
      <c r="D298" s="42"/>
      <c r="E298" s="42"/>
      <c r="F298" s="45" t="str">
        <f aca="false">IF(E298="","",ROUND(E298*0.2,2))</f>
        <v/>
      </c>
      <c r="G298" s="45" t="str">
        <f aca="false">IF(E298="","",E298+F298)</f>
        <v/>
      </c>
      <c r="H298" s="42"/>
      <c r="I298" s="42"/>
      <c r="J298" s="42" t="str">
        <f aca="false">IF(A298="","",MONTH(A298))</f>
        <v/>
      </c>
      <c r="K298" s="42" t="str">
        <f aca="false">IF(A298="","",YEAR(A298))</f>
        <v/>
      </c>
      <c r="L298" s="42"/>
    </row>
    <row r="299" customFormat="false" ht="21.75" hidden="false" customHeight="true" outlineLevel="0" collapsed="false">
      <c r="A299" s="37"/>
      <c r="B299" s="37"/>
      <c r="C299" s="37"/>
      <c r="D299" s="37"/>
      <c r="E299" s="37"/>
      <c r="F299" s="40" t="str">
        <f aca="false">IF(E299="","",ROUND(E299*0.2,2))</f>
        <v/>
      </c>
      <c r="G299" s="40" t="str">
        <f aca="false">IF(E299="","",E299+F299)</f>
        <v/>
      </c>
      <c r="H299" s="37"/>
      <c r="I299" s="37"/>
      <c r="J299" s="37" t="str">
        <f aca="false">IF(A299="","",MONTH(A299))</f>
        <v/>
      </c>
      <c r="K299" s="37" t="str">
        <f aca="false">IF(A299="","",YEAR(A299))</f>
        <v/>
      </c>
      <c r="L299" s="37"/>
    </row>
    <row r="300" customFormat="false" ht="21.75" hidden="false" customHeight="true" outlineLevel="0" collapsed="false">
      <c r="A300" s="42"/>
      <c r="B300" s="42"/>
      <c r="C300" s="42"/>
      <c r="D300" s="42"/>
      <c r="E300" s="42"/>
      <c r="F300" s="45" t="str">
        <f aca="false">IF(E300="","",ROUND(E300*0.2,2))</f>
        <v/>
      </c>
      <c r="G300" s="45" t="str">
        <f aca="false">IF(E300="","",E300+F300)</f>
        <v/>
      </c>
      <c r="H300" s="42"/>
      <c r="I300" s="42"/>
      <c r="J300" s="42" t="str">
        <f aca="false">IF(A300="","",MONTH(A300))</f>
        <v/>
      </c>
      <c r="K300" s="42" t="str">
        <f aca="false">IF(A300="","",YEAR(A300))</f>
        <v/>
      </c>
      <c r="L300" s="42"/>
    </row>
    <row r="301" customFormat="false" ht="21.75" hidden="false" customHeight="true" outlineLevel="0" collapsed="false">
      <c r="A301" s="37"/>
      <c r="B301" s="37"/>
      <c r="C301" s="37"/>
      <c r="D301" s="37"/>
      <c r="E301" s="37"/>
      <c r="F301" s="40" t="str">
        <f aca="false">IF(E301="","",ROUND(E301*0.2,2))</f>
        <v/>
      </c>
      <c r="G301" s="40" t="str">
        <f aca="false">IF(E301="","",E301+F301)</f>
        <v/>
      </c>
      <c r="H301" s="37"/>
      <c r="I301" s="37"/>
      <c r="J301" s="37" t="str">
        <f aca="false">IF(A301="","",MONTH(A301))</f>
        <v/>
      </c>
      <c r="K301" s="37" t="str">
        <f aca="false">IF(A301="","",YEAR(A301))</f>
        <v/>
      </c>
      <c r="L301" s="37"/>
    </row>
    <row r="302" customFormat="false" ht="21.75" hidden="false" customHeight="true" outlineLevel="0" collapsed="false">
      <c r="A302" s="42"/>
      <c r="B302" s="42"/>
      <c r="C302" s="42"/>
      <c r="D302" s="42"/>
      <c r="E302" s="42"/>
      <c r="F302" s="45" t="str">
        <f aca="false">IF(E302="","",ROUND(E302*0.2,2))</f>
        <v/>
      </c>
      <c r="G302" s="45" t="str">
        <f aca="false">IF(E302="","",E302+F302)</f>
        <v/>
      </c>
      <c r="H302" s="42"/>
      <c r="I302" s="42"/>
      <c r="J302" s="42" t="str">
        <f aca="false">IF(A302="","",MONTH(A302))</f>
        <v/>
      </c>
      <c r="K302" s="42" t="str">
        <f aca="false">IF(A302="","",YEAR(A302))</f>
        <v/>
      </c>
      <c r="L302" s="42"/>
    </row>
    <row r="303" customFormat="false" ht="21.75" hidden="false" customHeight="true" outlineLevel="0" collapsed="false">
      <c r="A303" s="37"/>
      <c r="B303" s="37"/>
      <c r="C303" s="37"/>
      <c r="D303" s="37"/>
      <c r="E303" s="37"/>
      <c r="F303" s="40" t="str">
        <f aca="false">IF(E303="","",ROUND(E303*0.2,2))</f>
        <v/>
      </c>
      <c r="G303" s="40" t="str">
        <f aca="false">IF(E303="","",E303+F303)</f>
        <v/>
      </c>
      <c r="H303" s="37"/>
      <c r="I303" s="37"/>
      <c r="J303" s="37" t="str">
        <f aca="false">IF(A303="","",MONTH(A303))</f>
        <v/>
      </c>
      <c r="K303" s="37" t="str">
        <f aca="false">IF(A303="","",YEAR(A303))</f>
        <v/>
      </c>
      <c r="L303" s="37"/>
    </row>
    <row r="304" customFormat="false" ht="21.75" hidden="false" customHeight="true" outlineLevel="0" collapsed="false">
      <c r="A304" s="42"/>
      <c r="B304" s="42"/>
      <c r="C304" s="42"/>
      <c r="D304" s="42"/>
      <c r="E304" s="42"/>
      <c r="F304" s="45" t="str">
        <f aca="false">IF(E304="","",ROUND(E304*0.2,2))</f>
        <v/>
      </c>
      <c r="G304" s="45" t="str">
        <f aca="false">IF(E304="","",E304+F304)</f>
        <v/>
      </c>
      <c r="H304" s="42"/>
      <c r="I304" s="42"/>
      <c r="J304" s="42" t="str">
        <f aca="false">IF(A304="","",MONTH(A304))</f>
        <v/>
      </c>
      <c r="K304" s="42" t="str">
        <f aca="false">IF(A304="","",YEAR(A304))</f>
        <v/>
      </c>
      <c r="L304" s="42"/>
    </row>
    <row r="305" customFormat="false" ht="21.75" hidden="false" customHeight="true" outlineLevel="0" collapsed="false">
      <c r="A305" s="37"/>
      <c r="B305" s="37"/>
      <c r="C305" s="37"/>
      <c r="D305" s="37"/>
      <c r="E305" s="37"/>
      <c r="F305" s="40" t="str">
        <f aca="false">IF(E305="","",ROUND(E305*0.2,2))</f>
        <v/>
      </c>
      <c r="G305" s="40" t="str">
        <f aca="false">IF(E305="","",E305+F305)</f>
        <v/>
      </c>
      <c r="H305" s="37"/>
      <c r="I305" s="37"/>
      <c r="J305" s="37" t="str">
        <f aca="false">IF(A305="","",MONTH(A305))</f>
        <v/>
      </c>
      <c r="K305" s="37" t="str">
        <f aca="false">IF(A305="","",YEAR(A305))</f>
        <v/>
      </c>
      <c r="L305" s="37"/>
    </row>
    <row r="306" customFormat="false" ht="21.75" hidden="false" customHeight="true" outlineLevel="0" collapsed="false">
      <c r="A306" s="42"/>
      <c r="B306" s="42"/>
      <c r="C306" s="42"/>
      <c r="D306" s="42"/>
      <c r="E306" s="42"/>
      <c r="F306" s="45" t="str">
        <f aca="false">IF(E306="","",ROUND(E306*0.2,2))</f>
        <v/>
      </c>
      <c r="G306" s="45" t="str">
        <f aca="false">IF(E306="","",E306+F306)</f>
        <v/>
      </c>
      <c r="H306" s="42"/>
      <c r="I306" s="42"/>
      <c r="J306" s="42" t="str">
        <f aca="false">IF(A306="","",MONTH(A306))</f>
        <v/>
      </c>
      <c r="K306" s="42" t="str">
        <f aca="false">IF(A306="","",YEAR(A306))</f>
        <v/>
      </c>
      <c r="L306" s="42"/>
    </row>
    <row r="307" customFormat="false" ht="21.75" hidden="false" customHeight="true" outlineLevel="0" collapsed="false">
      <c r="A307" s="37"/>
      <c r="B307" s="37"/>
      <c r="C307" s="37"/>
      <c r="D307" s="37"/>
      <c r="E307" s="37"/>
      <c r="F307" s="40" t="str">
        <f aca="false">IF(E307="","",ROUND(E307*0.2,2))</f>
        <v/>
      </c>
      <c r="G307" s="40" t="str">
        <f aca="false">IF(E307="","",E307+F307)</f>
        <v/>
      </c>
      <c r="H307" s="37"/>
      <c r="I307" s="37"/>
      <c r="J307" s="37" t="str">
        <f aca="false">IF(A307="","",MONTH(A307))</f>
        <v/>
      </c>
      <c r="K307" s="37" t="str">
        <f aca="false">IF(A307="","",YEAR(A307))</f>
        <v/>
      </c>
      <c r="L307" s="37"/>
    </row>
    <row r="308" customFormat="false" ht="21.75" hidden="false" customHeight="true" outlineLevel="0" collapsed="false">
      <c r="A308" s="42"/>
      <c r="B308" s="42"/>
      <c r="C308" s="42"/>
      <c r="D308" s="42"/>
      <c r="E308" s="42"/>
      <c r="F308" s="45" t="str">
        <f aca="false">IF(E308="","",ROUND(E308*0.2,2))</f>
        <v/>
      </c>
      <c r="G308" s="45" t="str">
        <f aca="false">IF(E308="","",E308+F308)</f>
        <v/>
      </c>
      <c r="H308" s="42"/>
      <c r="I308" s="42"/>
      <c r="J308" s="42" t="str">
        <f aca="false">IF(A308="","",MONTH(A308))</f>
        <v/>
      </c>
      <c r="K308" s="42" t="str">
        <f aca="false">IF(A308="","",YEAR(A308))</f>
        <v/>
      </c>
      <c r="L308" s="42"/>
    </row>
    <row r="309" customFormat="false" ht="21.75" hidden="false" customHeight="true" outlineLevel="0" collapsed="false">
      <c r="A309" s="37"/>
      <c r="B309" s="37"/>
      <c r="C309" s="37"/>
      <c r="D309" s="37"/>
      <c r="E309" s="37"/>
      <c r="F309" s="40" t="str">
        <f aca="false">IF(E309="","",ROUND(E309*0.2,2))</f>
        <v/>
      </c>
      <c r="G309" s="40" t="str">
        <f aca="false">IF(E309="","",E309+F309)</f>
        <v/>
      </c>
      <c r="H309" s="37"/>
      <c r="I309" s="37"/>
      <c r="J309" s="37" t="str">
        <f aca="false">IF(A309="","",MONTH(A309))</f>
        <v/>
      </c>
      <c r="K309" s="37" t="str">
        <f aca="false">IF(A309="","",YEAR(A309))</f>
        <v/>
      </c>
      <c r="L309" s="37"/>
    </row>
    <row r="310" customFormat="false" ht="21.75" hidden="false" customHeight="true" outlineLevel="0" collapsed="false">
      <c r="A310" s="42"/>
      <c r="B310" s="42"/>
      <c r="C310" s="42"/>
      <c r="D310" s="42"/>
      <c r="E310" s="42"/>
      <c r="F310" s="45" t="str">
        <f aca="false">IF(E310="","",ROUND(E310*0.2,2))</f>
        <v/>
      </c>
      <c r="G310" s="45" t="str">
        <f aca="false">IF(E310="","",E310+F310)</f>
        <v/>
      </c>
      <c r="H310" s="42"/>
      <c r="I310" s="42"/>
      <c r="J310" s="42" t="str">
        <f aca="false">IF(A310="","",MONTH(A310))</f>
        <v/>
      </c>
      <c r="K310" s="42" t="str">
        <f aca="false">IF(A310="","",YEAR(A310))</f>
        <v/>
      </c>
      <c r="L310" s="42"/>
    </row>
    <row r="311" customFormat="false" ht="21.75" hidden="false" customHeight="true" outlineLevel="0" collapsed="false">
      <c r="A311" s="37"/>
      <c r="B311" s="37"/>
      <c r="C311" s="37"/>
      <c r="D311" s="37"/>
      <c r="E311" s="37"/>
      <c r="F311" s="40" t="str">
        <f aca="false">IF(E311="","",ROUND(E311*0.2,2))</f>
        <v/>
      </c>
      <c r="G311" s="40" t="str">
        <f aca="false">IF(E311="","",E311+F311)</f>
        <v/>
      </c>
      <c r="H311" s="37"/>
      <c r="I311" s="37"/>
      <c r="J311" s="37" t="str">
        <f aca="false">IF(A311="","",MONTH(A311))</f>
        <v/>
      </c>
      <c r="K311" s="37" t="str">
        <f aca="false">IF(A311="","",YEAR(A311))</f>
        <v/>
      </c>
      <c r="L311" s="37"/>
    </row>
    <row r="312" customFormat="false" ht="21.75" hidden="false" customHeight="true" outlineLevel="0" collapsed="false">
      <c r="A312" s="42"/>
      <c r="B312" s="42"/>
      <c r="C312" s="42"/>
      <c r="D312" s="42"/>
      <c r="E312" s="42"/>
      <c r="F312" s="45" t="str">
        <f aca="false">IF(E312="","",ROUND(E312*0.2,2))</f>
        <v/>
      </c>
      <c r="G312" s="45" t="str">
        <f aca="false">IF(E312="","",E312+F312)</f>
        <v/>
      </c>
      <c r="H312" s="42"/>
      <c r="I312" s="42"/>
      <c r="J312" s="42" t="str">
        <f aca="false">IF(A312="","",MONTH(A312))</f>
        <v/>
      </c>
      <c r="K312" s="42" t="str">
        <f aca="false">IF(A312="","",YEAR(A312))</f>
        <v/>
      </c>
      <c r="L312" s="42"/>
    </row>
    <row r="313" customFormat="false" ht="21.75" hidden="false" customHeight="true" outlineLevel="0" collapsed="false">
      <c r="A313" s="37"/>
      <c r="B313" s="37"/>
      <c r="C313" s="37"/>
      <c r="D313" s="37"/>
      <c r="E313" s="37"/>
      <c r="F313" s="40" t="str">
        <f aca="false">IF(E313="","",ROUND(E313*0.2,2))</f>
        <v/>
      </c>
      <c r="G313" s="40" t="str">
        <f aca="false">IF(E313="","",E313+F313)</f>
        <v/>
      </c>
      <c r="H313" s="37"/>
      <c r="I313" s="37"/>
      <c r="J313" s="37" t="str">
        <f aca="false">IF(A313="","",MONTH(A313))</f>
        <v/>
      </c>
      <c r="K313" s="37" t="str">
        <f aca="false">IF(A313="","",YEAR(A313))</f>
        <v/>
      </c>
      <c r="L313" s="37"/>
    </row>
    <row r="314" customFormat="false" ht="21.75" hidden="false" customHeight="true" outlineLevel="0" collapsed="false">
      <c r="A314" s="42"/>
      <c r="B314" s="42"/>
      <c r="C314" s="42"/>
      <c r="D314" s="42"/>
      <c r="E314" s="42"/>
      <c r="F314" s="45" t="str">
        <f aca="false">IF(E314="","",ROUND(E314*0.2,2))</f>
        <v/>
      </c>
      <c r="G314" s="45" t="str">
        <f aca="false">IF(E314="","",E314+F314)</f>
        <v/>
      </c>
      <c r="H314" s="42"/>
      <c r="I314" s="42"/>
      <c r="J314" s="42" t="str">
        <f aca="false">IF(A314="","",MONTH(A314))</f>
        <v/>
      </c>
      <c r="K314" s="42" t="str">
        <f aca="false">IF(A314="","",YEAR(A314))</f>
        <v/>
      </c>
      <c r="L314" s="42"/>
    </row>
    <row r="315" customFormat="false" ht="21.75" hidden="false" customHeight="true" outlineLevel="0" collapsed="false">
      <c r="A315" s="37"/>
      <c r="B315" s="37"/>
      <c r="C315" s="37"/>
      <c r="D315" s="37"/>
      <c r="E315" s="37"/>
      <c r="F315" s="40" t="str">
        <f aca="false">IF(E315="","",ROUND(E315*0.2,2))</f>
        <v/>
      </c>
      <c r="G315" s="40" t="str">
        <f aca="false">IF(E315="","",E315+F315)</f>
        <v/>
      </c>
      <c r="H315" s="37"/>
      <c r="I315" s="37"/>
      <c r="J315" s="37" t="str">
        <f aca="false">IF(A315="","",MONTH(A315))</f>
        <v/>
      </c>
      <c r="K315" s="37" t="str">
        <f aca="false">IF(A315="","",YEAR(A315))</f>
        <v/>
      </c>
      <c r="L315" s="37"/>
    </row>
    <row r="316" customFormat="false" ht="21.75" hidden="false" customHeight="true" outlineLevel="0" collapsed="false">
      <c r="A316" s="42"/>
      <c r="B316" s="42"/>
      <c r="C316" s="42"/>
      <c r="D316" s="42"/>
      <c r="E316" s="42"/>
      <c r="F316" s="45" t="str">
        <f aca="false">IF(E316="","",ROUND(E316*0.2,2))</f>
        <v/>
      </c>
      <c r="G316" s="45" t="str">
        <f aca="false">IF(E316="","",E316+F316)</f>
        <v/>
      </c>
      <c r="H316" s="42"/>
      <c r="I316" s="42"/>
      <c r="J316" s="42" t="str">
        <f aca="false">IF(A316="","",MONTH(A316))</f>
        <v/>
      </c>
      <c r="K316" s="42" t="str">
        <f aca="false">IF(A316="","",YEAR(A316))</f>
        <v/>
      </c>
      <c r="L316" s="42"/>
    </row>
    <row r="317" customFormat="false" ht="21.75" hidden="false" customHeight="true" outlineLevel="0" collapsed="false">
      <c r="A317" s="37"/>
      <c r="B317" s="37"/>
      <c r="C317" s="37"/>
      <c r="D317" s="37"/>
      <c r="E317" s="37"/>
      <c r="F317" s="40" t="str">
        <f aca="false">IF(E317="","",ROUND(E317*0.2,2))</f>
        <v/>
      </c>
      <c r="G317" s="40" t="str">
        <f aca="false">IF(E317="","",E317+F317)</f>
        <v/>
      </c>
      <c r="H317" s="37"/>
      <c r="I317" s="37"/>
      <c r="J317" s="37" t="str">
        <f aca="false">IF(A317="","",MONTH(A317))</f>
        <v/>
      </c>
      <c r="K317" s="37" t="str">
        <f aca="false">IF(A317="","",YEAR(A317))</f>
        <v/>
      </c>
      <c r="L317" s="37"/>
    </row>
    <row r="318" customFormat="false" ht="21.75" hidden="false" customHeight="true" outlineLevel="0" collapsed="false">
      <c r="A318" s="42"/>
      <c r="B318" s="42"/>
      <c r="C318" s="42"/>
      <c r="D318" s="42"/>
      <c r="E318" s="42"/>
      <c r="F318" s="45" t="str">
        <f aca="false">IF(E318="","",ROUND(E318*0.2,2))</f>
        <v/>
      </c>
      <c r="G318" s="45" t="str">
        <f aca="false">IF(E318="","",E318+F318)</f>
        <v/>
      </c>
      <c r="H318" s="42"/>
      <c r="I318" s="42"/>
      <c r="J318" s="42" t="str">
        <f aca="false">IF(A318="","",MONTH(A318))</f>
        <v/>
      </c>
      <c r="K318" s="42" t="str">
        <f aca="false">IF(A318="","",YEAR(A318))</f>
        <v/>
      </c>
      <c r="L318" s="42"/>
    </row>
    <row r="319" customFormat="false" ht="21.75" hidden="false" customHeight="true" outlineLevel="0" collapsed="false">
      <c r="A319" s="37"/>
      <c r="B319" s="37"/>
      <c r="C319" s="37"/>
      <c r="D319" s="37"/>
      <c r="E319" s="37"/>
      <c r="F319" s="40" t="str">
        <f aca="false">IF(E319="","",ROUND(E319*0.2,2))</f>
        <v/>
      </c>
      <c r="G319" s="40" t="str">
        <f aca="false">IF(E319="","",E319+F319)</f>
        <v/>
      </c>
      <c r="H319" s="37"/>
      <c r="I319" s="37"/>
      <c r="J319" s="37" t="str">
        <f aca="false">IF(A319="","",MONTH(A319))</f>
        <v/>
      </c>
      <c r="K319" s="37" t="str">
        <f aca="false">IF(A319="","",YEAR(A319))</f>
        <v/>
      </c>
      <c r="L319" s="37"/>
    </row>
    <row r="320" customFormat="false" ht="21.75" hidden="false" customHeight="true" outlineLevel="0" collapsed="false">
      <c r="A320" s="42"/>
      <c r="B320" s="42"/>
      <c r="C320" s="42"/>
      <c r="D320" s="42"/>
      <c r="E320" s="42"/>
      <c r="F320" s="45" t="str">
        <f aca="false">IF(E320="","",ROUND(E320*0.2,2))</f>
        <v/>
      </c>
      <c r="G320" s="45" t="str">
        <f aca="false">IF(E320="","",E320+F320)</f>
        <v/>
      </c>
      <c r="H320" s="42"/>
      <c r="I320" s="42"/>
      <c r="J320" s="42" t="str">
        <f aca="false">IF(A320="","",MONTH(A320))</f>
        <v/>
      </c>
      <c r="K320" s="42" t="str">
        <f aca="false">IF(A320="","",YEAR(A320))</f>
        <v/>
      </c>
      <c r="L320" s="42"/>
    </row>
    <row r="321" customFormat="false" ht="21.75" hidden="false" customHeight="true" outlineLevel="0" collapsed="false">
      <c r="A321" s="37"/>
      <c r="B321" s="37"/>
      <c r="C321" s="37"/>
      <c r="D321" s="37"/>
      <c r="E321" s="37"/>
      <c r="F321" s="40" t="str">
        <f aca="false">IF(E321="","",ROUND(E321*0.2,2))</f>
        <v/>
      </c>
      <c r="G321" s="40" t="str">
        <f aca="false">IF(E321="","",E321+F321)</f>
        <v/>
      </c>
      <c r="H321" s="37"/>
      <c r="I321" s="37"/>
      <c r="J321" s="37" t="str">
        <f aca="false">IF(A321="","",MONTH(A321))</f>
        <v/>
      </c>
      <c r="K321" s="37" t="str">
        <f aca="false">IF(A321="","",YEAR(A321))</f>
        <v/>
      </c>
      <c r="L321" s="37"/>
    </row>
    <row r="322" customFormat="false" ht="21.75" hidden="false" customHeight="true" outlineLevel="0" collapsed="false">
      <c r="A322" s="42"/>
      <c r="B322" s="42"/>
      <c r="C322" s="42"/>
      <c r="D322" s="42"/>
      <c r="E322" s="42"/>
      <c r="F322" s="45" t="str">
        <f aca="false">IF(E322="","",ROUND(E322*0.2,2))</f>
        <v/>
      </c>
      <c r="G322" s="45" t="str">
        <f aca="false">IF(E322="","",E322+F322)</f>
        <v/>
      </c>
      <c r="H322" s="42"/>
      <c r="I322" s="42"/>
      <c r="J322" s="42" t="str">
        <f aca="false">IF(A322="","",MONTH(A322))</f>
        <v/>
      </c>
      <c r="K322" s="42" t="str">
        <f aca="false">IF(A322="","",YEAR(A322))</f>
        <v/>
      </c>
      <c r="L322" s="42"/>
    </row>
    <row r="323" customFormat="false" ht="21.75" hidden="false" customHeight="true" outlineLevel="0" collapsed="false">
      <c r="A323" s="37"/>
      <c r="B323" s="37"/>
      <c r="C323" s="37"/>
      <c r="D323" s="37"/>
      <c r="E323" s="37"/>
      <c r="F323" s="40" t="str">
        <f aca="false">IF(E323="","",ROUND(E323*0.2,2))</f>
        <v/>
      </c>
      <c r="G323" s="40" t="str">
        <f aca="false">IF(E323="","",E323+F323)</f>
        <v/>
      </c>
      <c r="H323" s="37"/>
      <c r="I323" s="37"/>
      <c r="J323" s="37" t="str">
        <f aca="false">IF(A323="","",MONTH(A323))</f>
        <v/>
      </c>
      <c r="K323" s="37" t="str">
        <f aca="false">IF(A323="","",YEAR(A323))</f>
        <v/>
      </c>
      <c r="L323" s="37"/>
    </row>
    <row r="324" customFormat="false" ht="21.75" hidden="false" customHeight="true" outlineLevel="0" collapsed="false">
      <c r="A324" s="42"/>
      <c r="B324" s="42"/>
      <c r="C324" s="42"/>
      <c r="D324" s="42"/>
      <c r="E324" s="42"/>
      <c r="F324" s="45" t="str">
        <f aca="false">IF(E324="","",ROUND(E324*0.2,2))</f>
        <v/>
      </c>
      <c r="G324" s="45" t="str">
        <f aca="false">IF(E324="","",E324+F324)</f>
        <v/>
      </c>
      <c r="H324" s="42"/>
      <c r="I324" s="42"/>
      <c r="J324" s="42" t="str">
        <f aca="false">IF(A324="","",MONTH(A324))</f>
        <v/>
      </c>
      <c r="K324" s="42" t="str">
        <f aca="false">IF(A324="","",YEAR(A324))</f>
        <v/>
      </c>
      <c r="L324" s="42"/>
    </row>
    <row r="325" customFormat="false" ht="21.75" hidden="false" customHeight="true" outlineLevel="0" collapsed="false">
      <c r="A325" s="37"/>
      <c r="B325" s="37"/>
      <c r="C325" s="37"/>
      <c r="D325" s="37"/>
      <c r="E325" s="37"/>
      <c r="F325" s="40" t="str">
        <f aca="false">IF(E325="","",ROUND(E325*0.2,2))</f>
        <v/>
      </c>
      <c r="G325" s="40" t="str">
        <f aca="false">IF(E325="","",E325+F325)</f>
        <v/>
      </c>
      <c r="H325" s="37"/>
      <c r="I325" s="37"/>
      <c r="J325" s="37" t="str">
        <f aca="false">IF(A325="","",MONTH(A325))</f>
        <v/>
      </c>
      <c r="K325" s="37" t="str">
        <f aca="false">IF(A325="","",YEAR(A325))</f>
        <v/>
      </c>
      <c r="L325" s="37"/>
    </row>
    <row r="326" customFormat="false" ht="21.75" hidden="false" customHeight="true" outlineLevel="0" collapsed="false">
      <c r="A326" s="42"/>
      <c r="B326" s="42"/>
      <c r="C326" s="42"/>
      <c r="D326" s="42"/>
      <c r="E326" s="42"/>
      <c r="F326" s="45" t="str">
        <f aca="false">IF(E326="","",ROUND(E326*0.2,2))</f>
        <v/>
      </c>
      <c r="G326" s="45" t="str">
        <f aca="false">IF(E326="","",E326+F326)</f>
        <v/>
      </c>
      <c r="H326" s="42"/>
      <c r="I326" s="42"/>
      <c r="J326" s="42" t="str">
        <f aca="false">IF(A326="","",MONTH(A326))</f>
        <v/>
      </c>
      <c r="K326" s="42" t="str">
        <f aca="false">IF(A326="","",YEAR(A326))</f>
        <v/>
      </c>
      <c r="L326" s="42"/>
    </row>
    <row r="327" customFormat="false" ht="21.75" hidden="false" customHeight="true" outlineLevel="0" collapsed="false">
      <c r="A327" s="37"/>
      <c r="B327" s="37"/>
      <c r="C327" s="37"/>
      <c r="D327" s="37"/>
      <c r="E327" s="37"/>
      <c r="F327" s="40" t="str">
        <f aca="false">IF(E327="","",ROUND(E327*0.2,2))</f>
        <v/>
      </c>
      <c r="G327" s="40" t="str">
        <f aca="false">IF(E327="","",E327+F327)</f>
        <v/>
      </c>
      <c r="H327" s="37"/>
      <c r="I327" s="37"/>
      <c r="J327" s="37" t="str">
        <f aca="false">IF(A327="","",MONTH(A327))</f>
        <v/>
      </c>
      <c r="K327" s="37" t="str">
        <f aca="false">IF(A327="","",YEAR(A327))</f>
        <v/>
      </c>
      <c r="L327" s="37"/>
    </row>
    <row r="328" customFormat="false" ht="21.75" hidden="false" customHeight="true" outlineLevel="0" collapsed="false">
      <c r="A328" s="42"/>
      <c r="B328" s="42"/>
      <c r="C328" s="42"/>
      <c r="D328" s="42"/>
      <c r="E328" s="42"/>
      <c r="F328" s="45" t="str">
        <f aca="false">IF(E328="","",ROUND(E328*0.2,2))</f>
        <v/>
      </c>
      <c r="G328" s="45" t="str">
        <f aca="false">IF(E328="","",E328+F328)</f>
        <v/>
      </c>
      <c r="H328" s="42"/>
      <c r="I328" s="42"/>
      <c r="J328" s="42" t="str">
        <f aca="false">IF(A328="","",MONTH(A328))</f>
        <v/>
      </c>
      <c r="K328" s="42" t="str">
        <f aca="false">IF(A328="","",YEAR(A328))</f>
        <v/>
      </c>
      <c r="L328" s="42"/>
    </row>
    <row r="329" customFormat="false" ht="21.75" hidden="false" customHeight="true" outlineLevel="0" collapsed="false">
      <c r="A329" s="37"/>
      <c r="B329" s="37"/>
      <c r="C329" s="37"/>
      <c r="D329" s="37"/>
      <c r="E329" s="37"/>
      <c r="F329" s="40" t="str">
        <f aca="false">IF(E329="","",ROUND(E329*0.2,2))</f>
        <v/>
      </c>
      <c r="G329" s="40" t="str">
        <f aca="false">IF(E329="","",E329+F329)</f>
        <v/>
      </c>
      <c r="H329" s="37"/>
      <c r="I329" s="37"/>
      <c r="J329" s="37" t="str">
        <f aca="false">IF(A329="","",MONTH(A329))</f>
        <v/>
      </c>
      <c r="K329" s="37" t="str">
        <f aca="false">IF(A329="","",YEAR(A329))</f>
        <v/>
      </c>
      <c r="L329" s="37"/>
    </row>
    <row r="330" customFormat="false" ht="21.75" hidden="false" customHeight="true" outlineLevel="0" collapsed="false">
      <c r="A330" s="42"/>
      <c r="B330" s="42"/>
      <c r="C330" s="42"/>
      <c r="D330" s="42"/>
      <c r="E330" s="42"/>
      <c r="F330" s="45" t="str">
        <f aca="false">IF(E330="","",ROUND(E330*0.2,2))</f>
        <v/>
      </c>
      <c r="G330" s="45" t="str">
        <f aca="false">IF(E330="","",E330+F330)</f>
        <v/>
      </c>
      <c r="H330" s="42"/>
      <c r="I330" s="42"/>
      <c r="J330" s="42" t="str">
        <f aca="false">IF(A330="","",MONTH(A330))</f>
        <v/>
      </c>
      <c r="K330" s="42" t="str">
        <f aca="false">IF(A330="","",YEAR(A330))</f>
        <v/>
      </c>
      <c r="L330" s="42"/>
    </row>
    <row r="331" customFormat="false" ht="21.75" hidden="false" customHeight="true" outlineLevel="0" collapsed="false">
      <c r="A331" s="37"/>
      <c r="B331" s="37"/>
      <c r="C331" s="37"/>
      <c r="D331" s="37"/>
      <c r="E331" s="37"/>
      <c r="F331" s="40" t="str">
        <f aca="false">IF(E331="","",ROUND(E331*0.2,2))</f>
        <v/>
      </c>
      <c r="G331" s="40" t="str">
        <f aca="false">IF(E331="","",E331+F331)</f>
        <v/>
      </c>
      <c r="H331" s="37"/>
      <c r="I331" s="37"/>
      <c r="J331" s="37" t="str">
        <f aca="false">IF(A331="","",MONTH(A331))</f>
        <v/>
      </c>
      <c r="K331" s="37" t="str">
        <f aca="false">IF(A331="","",YEAR(A331))</f>
        <v/>
      </c>
      <c r="L331" s="37"/>
    </row>
    <row r="332" customFormat="false" ht="21.75" hidden="false" customHeight="true" outlineLevel="0" collapsed="false">
      <c r="A332" s="42"/>
      <c r="B332" s="42"/>
      <c r="C332" s="42"/>
      <c r="D332" s="42"/>
      <c r="E332" s="42"/>
      <c r="F332" s="45" t="str">
        <f aca="false">IF(E332="","",ROUND(E332*0.2,2))</f>
        <v/>
      </c>
      <c r="G332" s="45" t="str">
        <f aca="false">IF(E332="","",E332+F332)</f>
        <v/>
      </c>
      <c r="H332" s="42"/>
      <c r="I332" s="42"/>
      <c r="J332" s="42" t="str">
        <f aca="false">IF(A332="","",MONTH(A332))</f>
        <v/>
      </c>
      <c r="K332" s="42" t="str">
        <f aca="false">IF(A332="","",YEAR(A332))</f>
        <v/>
      </c>
      <c r="L332" s="42"/>
    </row>
    <row r="333" customFormat="false" ht="21.75" hidden="false" customHeight="true" outlineLevel="0" collapsed="false">
      <c r="A333" s="37"/>
      <c r="B333" s="37"/>
      <c r="C333" s="37"/>
      <c r="D333" s="37"/>
      <c r="E333" s="37"/>
      <c r="F333" s="40" t="str">
        <f aca="false">IF(E333="","",ROUND(E333*0.2,2))</f>
        <v/>
      </c>
      <c r="G333" s="40" t="str">
        <f aca="false">IF(E333="","",E333+F333)</f>
        <v/>
      </c>
      <c r="H333" s="37"/>
      <c r="I333" s="37"/>
      <c r="J333" s="37" t="str">
        <f aca="false">IF(A333="","",MONTH(A333))</f>
        <v/>
      </c>
      <c r="K333" s="37" t="str">
        <f aca="false">IF(A333="","",YEAR(A333))</f>
        <v/>
      </c>
      <c r="L333" s="37"/>
    </row>
    <row r="334" customFormat="false" ht="21.75" hidden="false" customHeight="true" outlineLevel="0" collapsed="false">
      <c r="A334" s="42"/>
      <c r="B334" s="42"/>
      <c r="C334" s="42"/>
      <c r="D334" s="42"/>
      <c r="E334" s="42"/>
      <c r="F334" s="45" t="str">
        <f aca="false">IF(E334="","",ROUND(E334*0.2,2))</f>
        <v/>
      </c>
      <c r="G334" s="45" t="str">
        <f aca="false">IF(E334="","",E334+F334)</f>
        <v/>
      </c>
      <c r="H334" s="42"/>
      <c r="I334" s="42"/>
      <c r="J334" s="42" t="str">
        <f aca="false">IF(A334="","",MONTH(A334))</f>
        <v/>
      </c>
      <c r="K334" s="42" t="str">
        <f aca="false">IF(A334="","",YEAR(A334))</f>
        <v/>
      </c>
      <c r="L334" s="42"/>
    </row>
    <row r="335" customFormat="false" ht="21.75" hidden="false" customHeight="true" outlineLevel="0" collapsed="false">
      <c r="A335" s="37"/>
      <c r="B335" s="37"/>
      <c r="C335" s="37"/>
      <c r="D335" s="37"/>
      <c r="E335" s="37"/>
      <c r="F335" s="40" t="str">
        <f aca="false">IF(E335="","",ROUND(E335*0.2,2))</f>
        <v/>
      </c>
      <c r="G335" s="40" t="str">
        <f aca="false">IF(E335="","",E335+F335)</f>
        <v/>
      </c>
      <c r="H335" s="37"/>
      <c r="I335" s="37"/>
      <c r="J335" s="37" t="str">
        <f aca="false">IF(A335="","",MONTH(A335))</f>
        <v/>
      </c>
      <c r="K335" s="37" t="str">
        <f aca="false">IF(A335="","",YEAR(A335))</f>
        <v/>
      </c>
      <c r="L335" s="37"/>
    </row>
    <row r="336" customFormat="false" ht="21.75" hidden="false" customHeight="true" outlineLevel="0" collapsed="false">
      <c r="A336" s="42"/>
      <c r="B336" s="42"/>
      <c r="C336" s="42"/>
      <c r="D336" s="42"/>
      <c r="E336" s="42"/>
      <c r="F336" s="45" t="str">
        <f aca="false">IF(E336="","",ROUND(E336*0.2,2))</f>
        <v/>
      </c>
      <c r="G336" s="45" t="str">
        <f aca="false">IF(E336="","",E336+F336)</f>
        <v/>
      </c>
      <c r="H336" s="42"/>
      <c r="I336" s="42"/>
      <c r="J336" s="42" t="str">
        <f aca="false">IF(A336="","",MONTH(A336))</f>
        <v/>
      </c>
      <c r="K336" s="42" t="str">
        <f aca="false">IF(A336="","",YEAR(A336))</f>
        <v/>
      </c>
      <c r="L336" s="42"/>
    </row>
    <row r="337" customFormat="false" ht="21.75" hidden="false" customHeight="true" outlineLevel="0" collapsed="false">
      <c r="A337" s="37"/>
      <c r="B337" s="37"/>
      <c r="C337" s="37"/>
      <c r="D337" s="37"/>
      <c r="E337" s="37"/>
      <c r="F337" s="40" t="str">
        <f aca="false">IF(E337="","",ROUND(E337*0.2,2))</f>
        <v/>
      </c>
      <c r="G337" s="40" t="str">
        <f aca="false">IF(E337="","",E337+F337)</f>
        <v/>
      </c>
      <c r="H337" s="37"/>
      <c r="I337" s="37"/>
      <c r="J337" s="37" t="str">
        <f aca="false">IF(A337="","",MONTH(A337))</f>
        <v/>
      </c>
      <c r="K337" s="37" t="str">
        <f aca="false">IF(A337="","",YEAR(A337))</f>
        <v/>
      </c>
      <c r="L337" s="37"/>
    </row>
    <row r="338" customFormat="false" ht="21.75" hidden="false" customHeight="true" outlineLevel="0" collapsed="false">
      <c r="A338" s="42"/>
      <c r="B338" s="42"/>
      <c r="C338" s="42"/>
      <c r="D338" s="42"/>
      <c r="E338" s="42"/>
      <c r="F338" s="45" t="str">
        <f aca="false">IF(E338="","",ROUND(E338*0.2,2))</f>
        <v/>
      </c>
      <c r="G338" s="45" t="str">
        <f aca="false">IF(E338="","",E338+F338)</f>
        <v/>
      </c>
      <c r="H338" s="42"/>
      <c r="I338" s="42"/>
      <c r="J338" s="42" t="str">
        <f aca="false">IF(A338="","",MONTH(A338))</f>
        <v/>
      </c>
      <c r="K338" s="42" t="str">
        <f aca="false">IF(A338="","",YEAR(A338))</f>
        <v/>
      </c>
      <c r="L338" s="42"/>
    </row>
    <row r="339" customFormat="false" ht="21.75" hidden="false" customHeight="true" outlineLevel="0" collapsed="false">
      <c r="A339" s="37"/>
      <c r="B339" s="37"/>
      <c r="C339" s="37"/>
      <c r="D339" s="37"/>
      <c r="E339" s="37"/>
      <c r="F339" s="40" t="str">
        <f aca="false">IF(E339="","",ROUND(E339*0.2,2))</f>
        <v/>
      </c>
      <c r="G339" s="40" t="str">
        <f aca="false">IF(E339="","",E339+F339)</f>
        <v/>
      </c>
      <c r="H339" s="37"/>
      <c r="I339" s="37"/>
      <c r="J339" s="37" t="str">
        <f aca="false">IF(A339="","",MONTH(A339))</f>
        <v/>
      </c>
      <c r="K339" s="37" t="str">
        <f aca="false">IF(A339="","",YEAR(A339))</f>
        <v/>
      </c>
      <c r="L339" s="37"/>
    </row>
    <row r="340" customFormat="false" ht="21.75" hidden="false" customHeight="true" outlineLevel="0" collapsed="false">
      <c r="A340" s="42"/>
      <c r="B340" s="42"/>
      <c r="C340" s="42"/>
      <c r="D340" s="42"/>
      <c r="E340" s="42"/>
      <c r="F340" s="45" t="str">
        <f aca="false">IF(E340="","",ROUND(E340*0.2,2))</f>
        <v/>
      </c>
      <c r="G340" s="45" t="str">
        <f aca="false">IF(E340="","",E340+F340)</f>
        <v/>
      </c>
      <c r="H340" s="42"/>
      <c r="I340" s="42"/>
      <c r="J340" s="42" t="str">
        <f aca="false">IF(A340="","",MONTH(A340))</f>
        <v/>
      </c>
      <c r="K340" s="42" t="str">
        <f aca="false">IF(A340="","",YEAR(A340))</f>
        <v/>
      </c>
      <c r="L340" s="42"/>
    </row>
    <row r="341" customFormat="false" ht="21.75" hidden="false" customHeight="true" outlineLevel="0" collapsed="false">
      <c r="A341" s="37"/>
      <c r="B341" s="37"/>
      <c r="C341" s="37"/>
      <c r="D341" s="37"/>
      <c r="E341" s="37"/>
      <c r="F341" s="40" t="str">
        <f aca="false">IF(E341="","",ROUND(E341*0.2,2))</f>
        <v/>
      </c>
      <c r="G341" s="40" t="str">
        <f aca="false">IF(E341="","",E341+F341)</f>
        <v/>
      </c>
      <c r="H341" s="37"/>
      <c r="I341" s="37"/>
      <c r="J341" s="37" t="str">
        <f aca="false">IF(A341="","",MONTH(A341))</f>
        <v/>
      </c>
      <c r="K341" s="37" t="str">
        <f aca="false">IF(A341="","",YEAR(A341))</f>
        <v/>
      </c>
      <c r="L341" s="37"/>
    </row>
    <row r="342" customFormat="false" ht="21.75" hidden="false" customHeight="true" outlineLevel="0" collapsed="false">
      <c r="A342" s="42"/>
      <c r="B342" s="42"/>
      <c r="C342" s="42"/>
      <c r="D342" s="42"/>
      <c r="E342" s="42"/>
      <c r="F342" s="45" t="str">
        <f aca="false">IF(E342="","",ROUND(E342*0.2,2))</f>
        <v/>
      </c>
      <c r="G342" s="45" t="str">
        <f aca="false">IF(E342="","",E342+F342)</f>
        <v/>
      </c>
      <c r="H342" s="42"/>
      <c r="I342" s="42"/>
      <c r="J342" s="42" t="str">
        <f aca="false">IF(A342="","",MONTH(A342))</f>
        <v/>
      </c>
      <c r="K342" s="42" t="str">
        <f aca="false">IF(A342="","",YEAR(A342))</f>
        <v/>
      </c>
      <c r="L342" s="42"/>
    </row>
    <row r="343" customFormat="false" ht="21.75" hidden="false" customHeight="true" outlineLevel="0" collapsed="false">
      <c r="A343" s="37"/>
      <c r="B343" s="37"/>
      <c r="C343" s="37"/>
      <c r="D343" s="37"/>
      <c r="E343" s="37"/>
      <c r="F343" s="40" t="str">
        <f aca="false">IF(E343="","",ROUND(E343*0.2,2))</f>
        <v/>
      </c>
      <c r="G343" s="40" t="str">
        <f aca="false">IF(E343="","",E343+F343)</f>
        <v/>
      </c>
      <c r="H343" s="37"/>
      <c r="I343" s="37"/>
      <c r="J343" s="37" t="str">
        <f aca="false">IF(A343="","",MONTH(A343))</f>
        <v/>
      </c>
      <c r="K343" s="37" t="str">
        <f aca="false">IF(A343="","",YEAR(A343))</f>
        <v/>
      </c>
      <c r="L343" s="37"/>
    </row>
    <row r="344" customFormat="false" ht="21.75" hidden="false" customHeight="true" outlineLevel="0" collapsed="false">
      <c r="A344" s="42"/>
      <c r="B344" s="42"/>
      <c r="C344" s="42"/>
      <c r="D344" s="42"/>
      <c r="E344" s="42"/>
      <c r="F344" s="45" t="str">
        <f aca="false">IF(E344="","",ROUND(E344*0.2,2))</f>
        <v/>
      </c>
      <c r="G344" s="45" t="str">
        <f aca="false">IF(E344="","",E344+F344)</f>
        <v/>
      </c>
      <c r="H344" s="42"/>
      <c r="I344" s="42"/>
      <c r="J344" s="42" t="str">
        <f aca="false">IF(A344="","",MONTH(A344))</f>
        <v/>
      </c>
      <c r="K344" s="42" t="str">
        <f aca="false">IF(A344="","",YEAR(A344))</f>
        <v/>
      </c>
      <c r="L344" s="42"/>
    </row>
    <row r="345" customFormat="false" ht="21.75" hidden="false" customHeight="true" outlineLevel="0" collapsed="false">
      <c r="A345" s="37"/>
      <c r="B345" s="37"/>
      <c r="C345" s="37"/>
      <c r="D345" s="37"/>
      <c r="E345" s="37"/>
      <c r="F345" s="40" t="str">
        <f aca="false">IF(E345="","",ROUND(E345*0.2,2))</f>
        <v/>
      </c>
      <c r="G345" s="40" t="str">
        <f aca="false">IF(E345="","",E345+F345)</f>
        <v/>
      </c>
      <c r="H345" s="37"/>
      <c r="I345" s="37"/>
      <c r="J345" s="37" t="str">
        <f aca="false">IF(A345="","",MONTH(A345))</f>
        <v/>
      </c>
      <c r="K345" s="37" t="str">
        <f aca="false">IF(A345="","",YEAR(A345))</f>
        <v/>
      </c>
      <c r="L345" s="37"/>
    </row>
    <row r="346" customFormat="false" ht="21.75" hidden="false" customHeight="true" outlineLevel="0" collapsed="false">
      <c r="A346" s="42"/>
      <c r="B346" s="42"/>
      <c r="C346" s="42"/>
      <c r="D346" s="42"/>
      <c r="E346" s="42"/>
      <c r="F346" s="45" t="str">
        <f aca="false">IF(E346="","",ROUND(E346*0.2,2))</f>
        <v/>
      </c>
      <c r="G346" s="45" t="str">
        <f aca="false">IF(E346="","",E346+F346)</f>
        <v/>
      </c>
      <c r="H346" s="42"/>
      <c r="I346" s="42"/>
      <c r="J346" s="42" t="str">
        <f aca="false">IF(A346="","",MONTH(A346))</f>
        <v/>
      </c>
      <c r="K346" s="42" t="str">
        <f aca="false">IF(A346="","",YEAR(A346))</f>
        <v/>
      </c>
      <c r="L346" s="42"/>
    </row>
    <row r="347" customFormat="false" ht="21.75" hidden="false" customHeight="true" outlineLevel="0" collapsed="false">
      <c r="A347" s="37"/>
      <c r="B347" s="37"/>
      <c r="C347" s="37"/>
      <c r="D347" s="37"/>
      <c r="E347" s="37"/>
      <c r="F347" s="40" t="str">
        <f aca="false">IF(E347="","",ROUND(E347*0.2,2))</f>
        <v/>
      </c>
      <c r="G347" s="40" t="str">
        <f aca="false">IF(E347="","",E347+F347)</f>
        <v/>
      </c>
      <c r="H347" s="37"/>
      <c r="I347" s="37"/>
      <c r="J347" s="37" t="str">
        <f aca="false">IF(A347="","",MONTH(A347))</f>
        <v/>
      </c>
      <c r="K347" s="37" t="str">
        <f aca="false">IF(A347="","",YEAR(A347))</f>
        <v/>
      </c>
      <c r="L347" s="37"/>
    </row>
    <row r="348" customFormat="false" ht="21.75" hidden="false" customHeight="true" outlineLevel="0" collapsed="false">
      <c r="A348" s="42"/>
      <c r="B348" s="42"/>
      <c r="C348" s="42"/>
      <c r="D348" s="42"/>
      <c r="E348" s="42"/>
      <c r="F348" s="45" t="str">
        <f aca="false">IF(E348="","",ROUND(E348*0.2,2))</f>
        <v/>
      </c>
      <c r="G348" s="45" t="str">
        <f aca="false">IF(E348="","",E348+F348)</f>
        <v/>
      </c>
      <c r="H348" s="42"/>
      <c r="I348" s="42"/>
      <c r="J348" s="42" t="str">
        <f aca="false">IF(A348="","",MONTH(A348))</f>
        <v/>
      </c>
      <c r="K348" s="42" t="str">
        <f aca="false">IF(A348="","",YEAR(A348))</f>
        <v/>
      </c>
      <c r="L348" s="42"/>
    </row>
    <row r="349" customFormat="false" ht="21.75" hidden="false" customHeight="true" outlineLevel="0" collapsed="false">
      <c r="A349" s="37"/>
      <c r="B349" s="37"/>
      <c r="C349" s="37"/>
      <c r="D349" s="37"/>
      <c r="E349" s="37"/>
      <c r="F349" s="40" t="str">
        <f aca="false">IF(E349="","",ROUND(E349*0.2,2))</f>
        <v/>
      </c>
      <c r="G349" s="40" t="str">
        <f aca="false">IF(E349="","",E349+F349)</f>
        <v/>
      </c>
      <c r="H349" s="37"/>
      <c r="I349" s="37"/>
      <c r="J349" s="37" t="str">
        <f aca="false">IF(A349="","",MONTH(A349))</f>
        <v/>
      </c>
      <c r="K349" s="37" t="str">
        <f aca="false">IF(A349="","",YEAR(A349))</f>
        <v/>
      </c>
      <c r="L349" s="37"/>
    </row>
    <row r="350" customFormat="false" ht="21.75" hidden="false" customHeight="true" outlineLevel="0" collapsed="false">
      <c r="A350" s="42"/>
      <c r="B350" s="42"/>
      <c r="C350" s="42"/>
      <c r="D350" s="42"/>
      <c r="E350" s="42"/>
      <c r="F350" s="45" t="str">
        <f aca="false">IF(E350="","",ROUND(E350*0.2,2))</f>
        <v/>
      </c>
      <c r="G350" s="45" t="str">
        <f aca="false">IF(E350="","",E350+F350)</f>
        <v/>
      </c>
      <c r="H350" s="42"/>
      <c r="I350" s="42"/>
      <c r="J350" s="42" t="str">
        <f aca="false">IF(A350="","",MONTH(A350))</f>
        <v/>
      </c>
      <c r="K350" s="42" t="str">
        <f aca="false">IF(A350="","",YEAR(A350))</f>
        <v/>
      </c>
      <c r="L350" s="42"/>
    </row>
    <row r="351" customFormat="false" ht="21.75" hidden="false" customHeight="true" outlineLevel="0" collapsed="false">
      <c r="A351" s="37"/>
      <c r="B351" s="37"/>
      <c r="C351" s="37"/>
      <c r="D351" s="37"/>
      <c r="E351" s="37"/>
      <c r="F351" s="40" t="str">
        <f aca="false">IF(E351="","",ROUND(E351*0.2,2))</f>
        <v/>
      </c>
      <c r="G351" s="40" t="str">
        <f aca="false">IF(E351="","",E351+F351)</f>
        <v/>
      </c>
      <c r="H351" s="37"/>
      <c r="I351" s="37"/>
      <c r="J351" s="37" t="str">
        <f aca="false">IF(A351="","",MONTH(A351))</f>
        <v/>
      </c>
      <c r="K351" s="37" t="str">
        <f aca="false">IF(A351="","",YEAR(A351))</f>
        <v/>
      </c>
      <c r="L351" s="37"/>
    </row>
    <row r="352" customFormat="false" ht="21.75" hidden="false" customHeight="true" outlineLevel="0" collapsed="false">
      <c r="A352" s="42"/>
      <c r="B352" s="42"/>
      <c r="C352" s="42"/>
      <c r="D352" s="42"/>
      <c r="E352" s="42"/>
      <c r="F352" s="45" t="str">
        <f aca="false">IF(E352="","",ROUND(E352*0.2,2))</f>
        <v/>
      </c>
      <c r="G352" s="45" t="str">
        <f aca="false">IF(E352="","",E352+F352)</f>
        <v/>
      </c>
      <c r="H352" s="42"/>
      <c r="I352" s="42"/>
      <c r="J352" s="42" t="str">
        <f aca="false">IF(A352="","",MONTH(A352))</f>
        <v/>
      </c>
      <c r="K352" s="42" t="str">
        <f aca="false">IF(A352="","",YEAR(A352))</f>
        <v/>
      </c>
      <c r="L352" s="42"/>
    </row>
    <row r="353" customFormat="false" ht="21.75" hidden="false" customHeight="true" outlineLevel="0" collapsed="false">
      <c r="A353" s="37"/>
      <c r="B353" s="37"/>
      <c r="C353" s="37"/>
      <c r="D353" s="37"/>
      <c r="E353" s="37"/>
      <c r="F353" s="40" t="str">
        <f aca="false">IF(E353="","",ROUND(E353*0.2,2))</f>
        <v/>
      </c>
      <c r="G353" s="40" t="str">
        <f aca="false">IF(E353="","",E353+F353)</f>
        <v/>
      </c>
      <c r="H353" s="37"/>
      <c r="I353" s="37"/>
      <c r="J353" s="37" t="str">
        <f aca="false">IF(A353="","",MONTH(A353))</f>
        <v/>
      </c>
      <c r="K353" s="37" t="str">
        <f aca="false">IF(A353="","",YEAR(A353))</f>
        <v/>
      </c>
      <c r="L353" s="37"/>
    </row>
    <row r="354" customFormat="false" ht="21.75" hidden="false" customHeight="true" outlineLevel="0" collapsed="false">
      <c r="A354" s="42"/>
      <c r="B354" s="42"/>
      <c r="C354" s="42"/>
      <c r="D354" s="42"/>
      <c r="E354" s="42"/>
      <c r="F354" s="45" t="str">
        <f aca="false">IF(E354="","",ROUND(E354*0.2,2))</f>
        <v/>
      </c>
      <c r="G354" s="45" t="str">
        <f aca="false">IF(E354="","",E354+F354)</f>
        <v/>
      </c>
      <c r="H354" s="42"/>
      <c r="I354" s="42"/>
      <c r="J354" s="42" t="str">
        <f aca="false">IF(A354="","",MONTH(A354))</f>
        <v/>
      </c>
      <c r="K354" s="42" t="str">
        <f aca="false">IF(A354="","",YEAR(A354))</f>
        <v/>
      </c>
      <c r="L354" s="42"/>
    </row>
    <row r="355" customFormat="false" ht="21.75" hidden="false" customHeight="true" outlineLevel="0" collapsed="false">
      <c r="A355" s="37"/>
      <c r="B355" s="37"/>
      <c r="C355" s="37"/>
      <c r="D355" s="37"/>
      <c r="E355" s="37"/>
      <c r="F355" s="40" t="str">
        <f aca="false">IF(E355="","",ROUND(E355*0.2,2))</f>
        <v/>
      </c>
      <c r="G355" s="40" t="str">
        <f aca="false">IF(E355="","",E355+F355)</f>
        <v/>
      </c>
      <c r="H355" s="37"/>
      <c r="I355" s="37"/>
      <c r="J355" s="37" t="str">
        <f aca="false">IF(A355="","",MONTH(A355))</f>
        <v/>
      </c>
      <c r="K355" s="37" t="str">
        <f aca="false">IF(A355="","",YEAR(A355))</f>
        <v/>
      </c>
      <c r="L355" s="37"/>
    </row>
    <row r="356" customFormat="false" ht="21.75" hidden="false" customHeight="true" outlineLevel="0" collapsed="false">
      <c r="A356" s="42"/>
      <c r="B356" s="42"/>
      <c r="C356" s="42"/>
      <c r="D356" s="42"/>
      <c r="E356" s="42"/>
      <c r="F356" s="45" t="str">
        <f aca="false">IF(E356="","",ROUND(E356*0.2,2))</f>
        <v/>
      </c>
      <c r="G356" s="45" t="str">
        <f aca="false">IF(E356="","",E356+F356)</f>
        <v/>
      </c>
      <c r="H356" s="42"/>
      <c r="I356" s="42"/>
      <c r="J356" s="42" t="str">
        <f aca="false">IF(A356="","",MONTH(A356))</f>
        <v/>
      </c>
      <c r="K356" s="42" t="str">
        <f aca="false">IF(A356="","",YEAR(A356))</f>
        <v/>
      </c>
      <c r="L356" s="42"/>
    </row>
    <row r="357" customFormat="false" ht="21.75" hidden="false" customHeight="true" outlineLevel="0" collapsed="false">
      <c r="A357" s="37"/>
      <c r="B357" s="37"/>
      <c r="C357" s="37"/>
      <c r="D357" s="37"/>
      <c r="E357" s="37"/>
      <c r="F357" s="40" t="str">
        <f aca="false">IF(E357="","",ROUND(E357*0.2,2))</f>
        <v/>
      </c>
      <c r="G357" s="40" t="str">
        <f aca="false">IF(E357="","",E357+F357)</f>
        <v/>
      </c>
      <c r="H357" s="37"/>
      <c r="I357" s="37"/>
      <c r="J357" s="37" t="str">
        <f aca="false">IF(A357="","",MONTH(A357))</f>
        <v/>
      </c>
      <c r="K357" s="37" t="str">
        <f aca="false">IF(A357="","",YEAR(A357))</f>
        <v/>
      </c>
      <c r="L357" s="37"/>
    </row>
    <row r="358" customFormat="false" ht="21.75" hidden="false" customHeight="true" outlineLevel="0" collapsed="false">
      <c r="A358" s="42"/>
      <c r="B358" s="42"/>
      <c r="C358" s="42"/>
      <c r="D358" s="42"/>
      <c r="E358" s="42"/>
      <c r="F358" s="45" t="str">
        <f aca="false">IF(E358="","",ROUND(E358*0.2,2))</f>
        <v/>
      </c>
      <c r="G358" s="45" t="str">
        <f aca="false">IF(E358="","",E358+F358)</f>
        <v/>
      </c>
      <c r="H358" s="42"/>
      <c r="I358" s="42"/>
      <c r="J358" s="42" t="str">
        <f aca="false">IF(A358="","",MONTH(A358))</f>
        <v/>
      </c>
      <c r="K358" s="42" t="str">
        <f aca="false">IF(A358="","",YEAR(A358))</f>
        <v/>
      </c>
      <c r="L358" s="42"/>
    </row>
    <row r="359" customFormat="false" ht="21.75" hidden="false" customHeight="true" outlineLevel="0" collapsed="false">
      <c r="A359" s="37"/>
      <c r="B359" s="37"/>
      <c r="C359" s="37"/>
      <c r="D359" s="37"/>
      <c r="E359" s="37"/>
      <c r="F359" s="40" t="str">
        <f aca="false">IF(E359="","",ROUND(E359*0.2,2))</f>
        <v/>
      </c>
      <c r="G359" s="40" t="str">
        <f aca="false">IF(E359="","",E359+F359)</f>
        <v/>
      </c>
      <c r="H359" s="37"/>
      <c r="I359" s="37"/>
      <c r="J359" s="37" t="str">
        <f aca="false">IF(A359="","",MONTH(A359))</f>
        <v/>
      </c>
      <c r="K359" s="37" t="str">
        <f aca="false">IF(A359="","",YEAR(A359))</f>
        <v/>
      </c>
      <c r="L359" s="37"/>
    </row>
    <row r="360" customFormat="false" ht="21.75" hidden="false" customHeight="true" outlineLevel="0" collapsed="false">
      <c r="A360" s="42"/>
      <c r="B360" s="42"/>
      <c r="C360" s="42"/>
      <c r="D360" s="42"/>
      <c r="E360" s="42"/>
      <c r="F360" s="45" t="str">
        <f aca="false">IF(E360="","",ROUND(E360*0.2,2))</f>
        <v/>
      </c>
      <c r="G360" s="45" t="str">
        <f aca="false">IF(E360="","",E360+F360)</f>
        <v/>
      </c>
      <c r="H360" s="42"/>
      <c r="I360" s="42"/>
      <c r="J360" s="42" t="str">
        <f aca="false">IF(A360="","",MONTH(A360))</f>
        <v/>
      </c>
      <c r="K360" s="42" t="str">
        <f aca="false">IF(A360="","",YEAR(A360))</f>
        <v/>
      </c>
      <c r="L360" s="42"/>
    </row>
    <row r="361" customFormat="false" ht="21.75" hidden="false" customHeight="true" outlineLevel="0" collapsed="false">
      <c r="A361" s="37"/>
      <c r="B361" s="37"/>
      <c r="C361" s="37"/>
      <c r="D361" s="37"/>
      <c r="E361" s="37"/>
      <c r="F361" s="40" t="str">
        <f aca="false">IF(E361="","",ROUND(E361*0.2,2))</f>
        <v/>
      </c>
      <c r="G361" s="40" t="str">
        <f aca="false">IF(E361="","",E361+F361)</f>
        <v/>
      </c>
      <c r="H361" s="37"/>
      <c r="I361" s="37"/>
      <c r="J361" s="37" t="str">
        <f aca="false">IF(A361="","",MONTH(A361))</f>
        <v/>
      </c>
      <c r="K361" s="37" t="str">
        <f aca="false">IF(A361="","",YEAR(A361))</f>
        <v/>
      </c>
      <c r="L361" s="37"/>
    </row>
    <row r="362" customFormat="false" ht="21.75" hidden="false" customHeight="true" outlineLevel="0" collapsed="false">
      <c r="A362" s="42"/>
      <c r="B362" s="42"/>
      <c r="C362" s="42"/>
      <c r="D362" s="42"/>
      <c r="E362" s="42"/>
      <c r="F362" s="45" t="str">
        <f aca="false">IF(E362="","",ROUND(E362*0.2,2))</f>
        <v/>
      </c>
      <c r="G362" s="45" t="str">
        <f aca="false">IF(E362="","",E362+F362)</f>
        <v/>
      </c>
      <c r="H362" s="42"/>
      <c r="I362" s="42"/>
      <c r="J362" s="42" t="str">
        <f aca="false">IF(A362="","",MONTH(A362))</f>
        <v/>
      </c>
      <c r="K362" s="42" t="str">
        <f aca="false">IF(A362="","",YEAR(A362))</f>
        <v/>
      </c>
      <c r="L362" s="42"/>
    </row>
    <row r="363" customFormat="false" ht="21.75" hidden="false" customHeight="true" outlineLevel="0" collapsed="false">
      <c r="A363" s="37"/>
      <c r="B363" s="37"/>
      <c r="C363" s="37"/>
      <c r="D363" s="37"/>
      <c r="E363" s="37"/>
      <c r="F363" s="40" t="str">
        <f aca="false">IF(E363="","",ROUND(E363*0.2,2))</f>
        <v/>
      </c>
      <c r="G363" s="40" t="str">
        <f aca="false">IF(E363="","",E363+F363)</f>
        <v/>
      </c>
      <c r="H363" s="37"/>
      <c r="I363" s="37"/>
      <c r="J363" s="37" t="str">
        <f aca="false">IF(A363="","",MONTH(A363))</f>
        <v/>
      </c>
      <c r="K363" s="37" t="str">
        <f aca="false">IF(A363="","",YEAR(A363))</f>
        <v/>
      </c>
      <c r="L363" s="37"/>
    </row>
    <row r="364" customFormat="false" ht="21.75" hidden="false" customHeight="true" outlineLevel="0" collapsed="false">
      <c r="A364" s="42"/>
      <c r="B364" s="42"/>
      <c r="C364" s="42"/>
      <c r="D364" s="42"/>
      <c r="E364" s="42"/>
      <c r="F364" s="45" t="str">
        <f aca="false">IF(E364="","",ROUND(E364*0.2,2))</f>
        <v/>
      </c>
      <c r="G364" s="45" t="str">
        <f aca="false">IF(E364="","",E364+F364)</f>
        <v/>
      </c>
      <c r="H364" s="42"/>
      <c r="I364" s="42"/>
      <c r="J364" s="42" t="str">
        <f aca="false">IF(A364="","",MONTH(A364))</f>
        <v/>
      </c>
      <c r="K364" s="42" t="str">
        <f aca="false">IF(A364="","",YEAR(A364))</f>
        <v/>
      </c>
      <c r="L364" s="42"/>
    </row>
    <row r="365" customFormat="false" ht="21.75" hidden="false" customHeight="true" outlineLevel="0" collapsed="false">
      <c r="A365" s="37"/>
      <c r="B365" s="37"/>
      <c r="C365" s="37"/>
      <c r="D365" s="37"/>
      <c r="E365" s="37"/>
      <c r="F365" s="40" t="str">
        <f aca="false">IF(E365="","",ROUND(E365*0.2,2))</f>
        <v/>
      </c>
      <c r="G365" s="40" t="str">
        <f aca="false">IF(E365="","",E365+F365)</f>
        <v/>
      </c>
      <c r="H365" s="37"/>
      <c r="I365" s="37"/>
      <c r="J365" s="37" t="str">
        <f aca="false">IF(A365="","",MONTH(A365))</f>
        <v/>
      </c>
      <c r="K365" s="37" t="str">
        <f aca="false">IF(A365="","",YEAR(A365))</f>
        <v/>
      </c>
      <c r="L365" s="37"/>
    </row>
    <row r="366" customFormat="false" ht="21.75" hidden="false" customHeight="true" outlineLevel="0" collapsed="false">
      <c r="A366" s="42"/>
      <c r="B366" s="42"/>
      <c r="C366" s="42"/>
      <c r="D366" s="42"/>
      <c r="E366" s="42"/>
      <c r="F366" s="45" t="str">
        <f aca="false">IF(E366="","",ROUND(E366*0.2,2))</f>
        <v/>
      </c>
      <c r="G366" s="45" t="str">
        <f aca="false">IF(E366="","",E366+F366)</f>
        <v/>
      </c>
      <c r="H366" s="42"/>
      <c r="I366" s="42"/>
      <c r="J366" s="42" t="str">
        <f aca="false">IF(A366="","",MONTH(A366))</f>
        <v/>
      </c>
      <c r="K366" s="42" t="str">
        <f aca="false">IF(A366="","",YEAR(A366))</f>
        <v/>
      </c>
      <c r="L366" s="42"/>
    </row>
    <row r="367" customFormat="false" ht="21.75" hidden="false" customHeight="true" outlineLevel="0" collapsed="false">
      <c r="A367" s="37"/>
      <c r="B367" s="37"/>
      <c r="C367" s="37"/>
      <c r="D367" s="37"/>
      <c r="E367" s="37"/>
      <c r="F367" s="40" t="str">
        <f aca="false">IF(E367="","",ROUND(E367*0.2,2))</f>
        <v/>
      </c>
      <c r="G367" s="40" t="str">
        <f aca="false">IF(E367="","",E367+F367)</f>
        <v/>
      </c>
      <c r="H367" s="37"/>
      <c r="I367" s="37"/>
      <c r="J367" s="37" t="str">
        <f aca="false">IF(A367="","",MONTH(A367))</f>
        <v/>
      </c>
      <c r="K367" s="37" t="str">
        <f aca="false">IF(A367="","",YEAR(A367))</f>
        <v/>
      </c>
      <c r="L367" s="37"/>
    </row>
    <row r="368" customFormat="false" ht="21.75" hidden="false" customHeight="true" outlineLevel="0" collapsed="false">
      <c r="A368" s="42"/>
      <c r="B368" s="42"/>
      <c r="C368" s="42"/>
      <c r="D368" s="42"/>
      <c r="E368" s="42"/>
      <c r="F368" s="45" t="str">
        <f aca="false">IF(E368="","",ROUND(E368*0.2,2))</f>
        <v/>
      </c>
      <c r="G368" s="45" t="str">
        <f aca="false">IF(E368="","",E368+F368)</f>
        <v/>
      </c>
      <c r="H368" s="42"/>
      <c r="I368" s="42"/>
      <c r="J368" s="42" t="str">
        <f aca="false">IF(A368="","",MONTH(A368))</f>
        <v/>
      </c>
      <c r="K368" s="42" t="str">
        <f aca="false">IF(A368="","",YEAR(A368))</f>
        <v/>
      </c>
      <c r="L368" s="42"/>
    </row>
    <row r="369" customFormat="false" ht="21.75" hidden="false" customHeight="true" outlineLevel="0" collapsed="false">
      <c r="A369" s="37"/>
      <c r="B369" s="37"/>
      <c r="C369" s="37"/>
      <c r="D369" s="37"/>
      <c r="E369" s="37"/>
      <c r="F369" s="40" t="str">
        <f aca="false">IF(E369="","",ROUND(E369*0.2,2))</f>
        <v/>
      </c>
      <c r="G369" s="40" t="str">
        <f aca="false">IF(E369="","",E369+F369)</f>
        <v/>
      </c>
      <c r="H369" s="37"/>
      <c r="I369" s="37"/>
      <c r="J369" s="37" t="str">
        <f aca="false">IF(A369="","",MONTH(A369))</f>
        <v/>
      </c>
      <c r="K369" s="37" t="str">
        <f aca="false">IF(A369="","",YEAR(A369))</f>
        <v/>
      </c>
      <c r="L369" s="37"/>
    </row>
    <row r="370" customFormat="false" ht="21.75" hidden="false" customHeight="true" outlineLevel="0" collapsed="false">
      <c r="A370" s="42"/>
      <c r="B370" s="42"/>
      <c r="C370" s="42"/>
      <c r="D370" s="42"/>
      <c r="E370" s="42"/>
      <c r="F370" s="45" t="str">
        <f aca="false">IF(E370="","",ROUND(E370*0.2,2))</f>
        <v/>
      </c>
      <c r="G370" s="45" t="str">
        <f aca="false">IF(E370="","",E370+F370)</f>
        <v/>
      </c>
      <c r="H370" s="42"/>
      <c r="I370" s="42"/>
      <c r="J370" s="42" t="str">
        <f aca="false">IF(A370="","",MONTH(A370))</f>
        <v/>
      </c>
      <c r="K370" s="42" t="str">
        <f aca="false">IF(A370="","",YEAR(A370))</f>
        <v/>
      </c>
      <c r="L370" s="42"/>
    </row>
    <row r="371" customFormat="false" ht="21.75" hidden="false" customHeight="true" outlineLevel="0" collapsed="false">
      <c r="A371" s="37"/>
      <c r="B371" s="37"/>
      <c r="C371" s="37"/>
      <c r="D371" s="37"/>
      <c r="E371" s="37"/>
      <c r="F371" s="40" t="str">
        <f aca="false">IF(E371="","",ROUND(E371*0.2,2))</f>
        <v/>
      </c>
      <c r="G371" s="40" t="str">
        <f aca="false">IF(E371="","",E371+F371)</f>
        <v/>
      </c>
      <c r="H371" s="37"/>
      <c r="I371" s="37"/>
      <c r="J371" s="37" t="str">
        <f aca="false">IF(A371="","",MONTH(A371))</f>
        <v/>
      </c>
      <c r="K371" s="37" t="str">
        <f aca="false">IF(A371="","",YEAR(A371))</f>
        <v/>
      </c>
      <c r="L371" s="37"/>
    </row>
    <row r="372" customFormat="false" ht="21.75" hidden="false" customHeight="true" outlineLevel="0" collapsed="false">
      <c r="A372" s="42"/>
      <c r="B372" s="42"/>
      <c r="C372" s="42"/>
      <c r="D372" s="42"/>
      <c r="E372" s="42"/>
      <c r="F372" s="45" t="str">
        <f aca="false">IF(E372="","",ROUND(E372*0.2,2))</f>
        <v/>
      </c>
      <c r="G372" s="45" t="str">
        <f aca="false">IF(E372="","",E372+F372)</f>
        <v/>
      </c>
      <c r="H372" s="42"/>
      <c r="I372" s="42"/>
      <c r="J372" s="42" t="str">
        <f aca="false">IF(A372="","",MONTH(A372))</f>
        <v/>
      </c>
      <c r="K372" s="42" t="str">
        <f aca="false">IF(A372="","",YEAR(A372))</f>
        <v/>
      </c>
      <c r="L372" s="42"/>
    </row>
    <row r="373" customFormat="false" ht="21.75" hidden="false" customHeight="true" outlineLevel="0" collapsed="false">
      <c r="A373" s="37"/>
      <c r="B373" s="37"/>
      <c r="C373" s="37"/>
      <c r="D373" s="37"/>
      <c r="E373" s="37"/>
      <c r="F373" s="40" t="str">
        <f aca="false">IF(E373="","",ROUND(E373*0.2,2))</f>
        <v/>
      </c>
      <c r="G373" s="40" t="str">
        <f aca="false">IF(E373="","",E373+F373)</f>
        <v/>
      </c>
      <c r="H373" s="37"/>
      <c r="I373" s="37"/>
      <c r="J373" s="37" t="str">
        <f aca="false">IF(A373="","",MONTH(A373))</f>
        <v/>
      </c>
      <c r="K373" s="37" t="str">
        <f aca="false">IF(A373="","",YEAR(A373))</f>
        <v/>
      </c>
      <c r="L373" s="37"/>
    </row>
    <row r="374" customFormat="false" ht="21.75" hidden="false" customHeight="true" outlineLevel="0" collapsed="false">
      <c r="A374" s="42"/>
      <c r="B374" s="42"/>
      <c r="C374" s="42"/>
      <c r="D374" s="42"/>
      <c r="E374" s="42"/>
      <c r="F374" s="45" t="str">
        <f aca="false">IF(E374="","",ROUND(E374*0.2,2))</f>
        <v/>
      </c>
      <c r="G374" s="45" t="str">
        <f aca="false">IF(E374="","",E374+F374)</f>
        <v/>
      </c>
      <c r="H374" s="42"/>
      <c r="I374" s="42"/>
      <c r="J374" s="42" t="str">
        <f aca="false">IF(A374="","",MONTH(A374))</f>
        <v/>
      </c>
      <c r="K374" s="42" t="str">
        <f aca="false">IF(A374="","",YEAR(A374))</f>
        <v/>
      </c>
      <c r="L374" s="42"/>
    </row>
    <row r="375" customFormat="false" ht="21.75" hidden="false" customHeight="true" outlineLevel="0" collapsed="false">
      <c r="A375" s="37"/>
      <c r="B375" s="37"/>
      <c r="C375" s="37"/>
      <c r="D375" s="37"/>
      <c r="E375" s="37"/>
      <c r="F375" s="40" t="str">
        <f aca="false">IF(E375="","",ROUND(E375*0.2,2))</f>
        <v/>
      </c>
      <c r="G375" s="40" t="str">
        <f aca="false">IF(E375="","",E375+F375)</f>
        <v/>
      </c>
      <c r="H375" s="37"/>
      <c r="I375" s="37"/>
      <c r="J375" s="37" t="str">
        <f aca="false">IF(A375="","",MONTH(A375))</f>
        <v/>
      </c>
      <c r="K375" s="37" t="str">
        <f aca="false">IF(A375="","",YEAR(A375))</f>
        <v/>
      </c>
      <c r="L375" s="37"/>
    </row>
    <row r="376" customFormat="false" ht="21.75" hidden="false" customHeight="true" outlineLevel="0" collapsed="false">
      <c r="A376" s="42"/>
      <c r="B376" s="42"/>
      <c r="C376" s="42"/>
      <c r="D376" s="42"/>
      <c r="E376" s="42"/>
      <c r="F376" s="45" t="str">
        <f aca="false">IF(E376="","",ROUND(E376*0.2,2))</f>
        <v/>
      </c>
      <c r="G376" s="45" t="str">
        <f aca="false">IF(E376="","",E376+F376)</f>
        <v/>
      </c>
      <c r="H376" s="42"/>
      <c r="I376" s="42"/>
      <c r="J376" s="42" t="str">
        <f aca="false">IF(A376="","",MONTH(A376))</f>
        <v/>
      </c>
      <c r="K376" s="42" t="str">
        <f aca="false">IF(A376="","",YEAR(A376))</f>
        <v/>
      </c>
      <c r="L376" s="42"/>
    </row>
    <row r="377" customFormat="false" ht="21.75" hidden="false" customHeight="true" outlineLevel="0" collapsed="false">
      <c r="A377" s="37"/>
      <c r="B377" s="37"/>
      <c r="C377" s="37"/>
      <c r="D377" s="37"/>
      <c r="E377" s="37"/>
      <c r="F377" s="40" t="str">
        <f aca="false">IF(E377="","",ROUND(E377*0.2,2))</f>
        <v/>
      </c>
      <c r="G377" s="40" t="str">
        <f aca="false">IF(E377="","",E377+F377)</f>
        <v/>
      </c>
      <c r="H377" s="37"/>
      <c r="I377" s="37"/>
      <c r="J377" s="37" t="str">
        <f aca="false">IF(A377="","",MONTH(A377))</f>
        <v/>
      </c>
      <c r="K377" s="37" t="str">
        <f aca="false">IF(A377="","",YEAR(A377))</f>
        <v/>
      </c>
      <c r="L377" s="37"/>
    </row>
    <row r="378" customFormat="false" ht="21.75" hidden="false" customHeight="true" outlineLevel="0" collapsed="false">
      <c r="A378" s="42"/>
      <c r="B378" s="42"/>
      <c r="C378" s="42"/>
      <c r="D378" s="42"/>
      <c r="E378" s="42"/>
      <c r="F378" s="45" t="str">
        <f aca="false">IF(E378="","",ROUND(E378*0.2,2))</f>
        <v/>
      </c>
      <c r="G378" s="45" t="str">
        <f aca="false">IF(E378="","",E378+F378)</f>
        <v/>
      </c>
      <c r="H378" s="42"/>
      <c r="I378" s="42"/>
      <c r="J378" s="42" t="str">
        <f aca="false">IF(A378="","",MONTH(A378))</f>
        <v/>
      </c>
      <c r="K378" s="42" t="str">
        <f aca="false">IF(A378="","",YEAR(A378))</f>
        <v/>
      </c>
      <c r="L378" s="42"/>
    </row>
    <row r="379" customFormat="false" ht="21.75" hidden="false" customHeight="true" outlineLevel="0" collapsed="false">
      <c r="A379" s="37"/>
      <c r="B379" s="37"/>
      <c r="C379" s="37"/>
      <c r="D379" s="37"/>
      <c r="E379" s="37"/>
      <c r="F379" s="40" t="str">
        <f aca="false">IF(E379="","",ROUND(E379*0.2,2))</f>
        <v/>
      </c>
      <c r="G379" s="40" t="str">
        <f aca="false">IF(E379="","",E379+F379)</f>
        <v/>
      </c>
      <c r="H379" s="37"/>
      <c r="I379" s="37"/>
      <c r="J379" s="37" t="str">
        <f aca="false">IF(A379="","",MONTH(A379))</f>
        <v/>
      </c>
      <c r="K379" s="37" t="str">
        <f aca="false">IF(A379="","",YEAR(A379))</f>
        <v/>
      </c>
      <c r="L379" s="37"/>
    </row>
    <row r="380" customFormat="false" ht="21.75" hidden="false" customHeight="true" outlineLevel="0" collapsed="false">
      <c r="A380" s="42"/>
      <c r="B380" s="42"/>
      <c r="C380" s="42"/>
      <c r="D380" s="42"/>
      <c r="E380" s="42"/>
      <c r="F380" s="45" t="str">
        <f aca="false">IF(E380="","",ROUND(E380*0.2,2))</f>
        <v/>
      </c>
      <c r="G380" s="45" t="str">
        <f aca="false">IF(E380="","",E380+F380)</f>
        <v/>
      </c>
      <c r="H380" s="42"/>
      <c r="I380" s="42"/>
      <c r="J380" s="42" t="str">
        <f aca="false">IF(A380="","",MONTH(A380))</f>
        <v/>
      </c>
      <c r="K380" s="42" t="str">
        <f aca="false">IF(A380="","",YEAR(A380))</f>
        <v/>
      </c>
      <c r="L380" s="42"/>
    </row>
    <row r="381" customFormat="false" ht="21.75" hidden="false" customHeight="true" outlineLevel="0" collapsed="false">
      <c r="A381" s="37"/>
      <c r="B381" s="37"/>
      <c r="C381" s="37"/>
      <c r="D381" s="37"/>
      <c r="E381" s="37"/>
      <c r="F381" s="40" t="str">
        <f aca="false">IF(E381="","",ROUND(E381*0.2,2))</f>
        <v/>
      </c>
      <c r="G381" s="40" t="str">
        <f aca="false">IF(E381="","",E381+F381)</f>
        <v/>
      </c>
      <c r="H381" s="37"/>
      <c r="I381" s="37"/>
      <c r="J381" s="37" t="str">
        <f aca="false">IF(A381="","",MONTH(A381))</f>
        <v/>
      </c>
      <c r="K381" s="37" t="str">
        <f aca="false">IF(A381="","",YEAR(A381))</f>
        <v/>
      </c>
      <c r="L381" s="37"/>
    </row>
    <row r="382" customFormat="false" ht="21.75" hidden="false" customHeight="true" outlineLevel="0" collapsed="false">
      <c r="A382" s="42"/>
      <c r="B382" s="42"/>
      <c r="C382" s="42"/>
      <c r="D382" s="42"/>
      <c r="E382" s="42"/>
      <c r="F382" s="45" t="str">
        <f aca="false">IF(E382="","",ROUND(E382*0.2,2))</f>
        <v/>
      </c>
      <c r="G382" s="45" t="str">
        <f aca="false">IF(E382="","",E382+F382)</f>
        <v/>
      </c>
      <c r="H382" s="42"/>
      <c r="I382" s="42"/>
      <c r="J382" s="42" t="str">
        <f aca="false">IF(A382="","",MONTH(A382))</f>
        <v/>
      </c>
      <c r="K382" s="42" t="str">
        <f aca="false">IF(A382="","",YEAR(A382))</f>
        <v/>
      </c>
      <c r="L382" s="42"/>
    </row>
    <row r="383" customFormat="false" ht="21.75" hidden="false" customHeight="true" outlineLevel="0" collapsed="false">
      <c r="A383" s="37"/>
      <c r="B383" s="37"/>
      <c r="C383" s="37"/>
      <c r="D383" s="37"/>
      <c r="E383" s="37"/>
      <c r="F383" s="40" t="str">
        <f aca="false">IF(E383="","",ROUND(E383*0.2,2))</f>
        <v/>
      </c>
      <c r="G383" s="40" t="str">
        <f aca="false">IF(E383="","",E383+F383)</f>
        <v/>
      </c>
      <c r="H383" s="37"/>
      <c r="I383" s="37"/>
      <c r="J383" s="37" t="str">
        <f aca="false">IF(A383="","",MONTH(A383))</f>
        <v/>
      </c>
      <c r="K383" s="37" t="str">
        <f aca="false">IF(A383="","",YEAR(A383))</f>
        <v/>
      </c>
      <c r="L383" s="37"/>
    </row>
    <row r="384" customFormat="false" ht="21.75" hidden="false" customHeight="true" outlineLevel="0" collapsed="false">
      <c r="A384" s="42"/>
      <c r="B384" s="42"/>
      <c r="C384" s="42"/>
      <c r="D384" s="42"/>
      <c r="E384" s="42"/>
      <c r="F384" s="45" t="str">
        <f aca="false">IF(E384="","",ROUND(E384*0.2,2))</f>
        <v/>
      </c>
      <c r="G384" s="45" t="str">
        <f aca="false">IF(E384="","",E384+F384)</f>
        <v/>
      </c>
      <c r="H384" s="42"/>
      <c r="I384" s="42"/>
      <c r="J384" s="42" t="str">
        <f aca="false">IF(A384="","",MONTH(A384))</f>
        <v/>
      </c>
      <c r="K384" s="42" t="str">
        <f aca="false">IF(A384="","",YEAR(A384))</f>
        <v/>
      </c>
      <c r="L384" s="42"/>
    </row>
    <row r="385" customFormat="false" ht="21.75" hidden="false" customHeight="true" outlineLevel="0" collapsed="false">
      <c r="A385" s="37"/>
      <c r="B385" s="37"/>
      <c r="C385" s="37"/>
      <c r="D385" s="37"/>
      <c r="E385" s="37"/>
      <c r="F385" s="40" t="str">
        <f aca="false">IF(E385="","",ROUND(E385*0.2,2))</f>
        <v/>
      </c>
      <c r="G385" s="40" t="str">
        <f aca="false">IF(E385="","",E385+F385)</f>
        <v/>
      </c>
      <c r="H385" s="37"/>
      <c r="I385" s="37"/>
      <c r="J385" s="37" t="str">
        <f aca="false">IF(A385="","",MONTH(A385))</f>
        <v/>
      </c>
      <c r="K385" s="37" t="str">
        <f aca="false">IF(A385="","",YEAR(A385))</f>
        <v/>
      </c>
      <c r="L385" s="37"/>
    </row>
    <row r="386" customFormat="false" ht="21.75" hidden="false" customHeight="true" outlineLevel="0" collapsed="false">
      <c r="A386" s="42"/>
      <c r="B386" s="42"/>
      <c r="C386" s="42"/>
      <c r="D386" s="42"/>
      <c r="E386" s="42"/>
      <c r="F386" s="45" t="str">
        <f aca="false">IF(E386="","",ROUND(E386*0.2,2))</f>
        <v/>
      </c>
      <c r="G386" s="45" t="str">
        <f aca="false">IF(E386="","",E386+F386)</f>
        <v/>
      </c>
      <c r="H386" s="42"/>
      <c r="I386" s="42"/>
      <c r="J386" s="42" t="str">
        <f aca="false">IF(A386="","",MONTH(A386))</f>
        <v/>
      </c>
      <c r="K386" s="42" t="str">
        <f aca="false">IF(A386="","",YEAR(A386))</f>
        <v/>
      </c>
      <c r="L386" s="42"/>
    </row>
    <row r="387" customFormat="false" ht="21.75" hidden="false" customHeight="true" outlineLevel="0" collapsed="false">
      <c r="A387" s="37"/>
      <c r="B387" s="37"/>
      <c r="C387" s="37"/>
      <c r="D387" s="37"/>
      <c r="E387" s="37"/>
      <c r="F387" s="40" t="str">
        <f aca="false">IF(E387="","",ROUND(E387*0.2,2))</f>
        <v/>
      </c>
      <c r="G387" s="40" t="str">
        <f aca="false">IF(E387="","",E387+F387)</f>
        <v/>
      </c>
      <c r="H387" s="37"/>
      <c r="I387" s="37"/>
      <c r="J387" s="37" t="str">
        <f aca="false">IF(A387="","",MONTH(A387))</f>
        <v/>
      </c>
      <c r="K387" s="37" t="str">
        <f aca="false">IF(A387="","",YEAR(A387))</f>
        <v/>
      </c>
      <c r="L387" s="37"/>
    </row>
    <row r="388" customFormat="false" ht="21.75" hidden="false" customHeight="true" outlineLevel="0" collapsed="false">
      <c r="A388" s="42"/>
      <c r="B388" s="42"/>
      <c r="C388" s="42"/>
      <c r="D388" s="42"/>
      <c r="E388" s="42"/>
      <c r="F388" s="45" t="str">
        <f aca="false">IF(E388="","",ROUND(E388*0.2,2))</f>
        <v/>
      </c>
      <c r="G388" s="45" t="str">
        <f aca="false">IF(E388="","",E388+F388)</f>
        <v/>
      </c>
      <c r="H388" s="42"/>
      <c r="I388" s="42"/>
      <c r="J388" s="42" t="str">
        <f aca="false">IF(A388="","",MONTH(A388))</f>
        <v/>
      </c>
      <c r="K388" s="42" t="str">
        <f aca="false">IF(A388="","",YEAR(A388))</f>
        <v/>
      </c>
      <c r="L388" s="42"/>
    </row>
    <row r="389" customFormat="false" ht="21.75" hidden="false" customHeight="true" outlineLevel="0" collapsed="false">
      <c r="A389" s="37"/>
      <c r="B389" s="37"/>
      <c r="C389" s="37"/>
      <c r="D389" s="37"/>
      <c r="E389" s="37"/>
      <c r="F389" s="40" t="str">
        <f aca="false">IF(E389="","",ROUND(E389*0.2,2))</f>
        <v/>
      </c>
      <c r="G389" s="40" t="str">
        <f aca="false">IF(E389="","",E389+F389)</f>
        <v/>
      </c>
      <c r="H389" s="37"/>
      <c r="I389" s="37"/>
      <c r="J389" s="37" t="str">
        <f aca="false">IF(A389="","",MONTH(A389))</f>
        <v/>
      </c>
      <c r="K389" s="37" t="str">
        <f aca="false">IF(A389="","",YEAR(A389))</f>
        <v/>
      </c>
      <c r="L389" s="37"/>
    </row>
    <row r="390" customFormat="false" ht="21.75" hidden="false" customHeight="true" outlineLevel="0" collapsed="false">
      <c r="A390" s="42"/>
      <c r="B390" s="42"/>
      <c r="C390" s="42"/>
      <c r="D390" s="42"/>
      <c r="E390" s="42"/>
      <c r="F390" s="45" t="str">
        <f aca="false">IF(E390="","",ROUND(E390*0.2,2))</f>
        <v/>
      </c>
      <c r="G390" s="45" t="str">
        <f aca="false">IF(E390="","",E390+F390)</f>
        <v/>
      </c>
      <c r="H390" s="42"/>
      <c r="I390" s="42"/>
      <c r="J390" s="42" t="str">
        <f aca="false">IF(A390="","",MONTH(A390))</f>
        <v/>
      </c>
      <c r="K390" s="42" t="str">
        <f aca="false">IF(A390="","",YEAR(A390))</f>
        <v/>
      </c>
      <c r="L390" s="42"/>
    </row>
    <row r="391" customFormat="false" ht="21.75" hidden="false" customHeight="true" outlineLevel="0" collapsed="false">
      <c r="A391" s="37"/>
      <c r="B391" s="37"/>
      <c r="C391" s="37"/>
      <c r="D391" s="37"/>
      <c r="E391" s="37"/>
      <c r="F391" s="40" t="str">
        <f aca="false">IF(E391="","",ROUND(E391*0.2,2))</f>
        <v/>
      </c>
      <c r="G391" s="40" t="str">
        <f aca="false">IF(E391="","",E391+F391)</f>
        <v/>
      </c>
      <c r="H391" s="37"/>
      <c r="I391" s="37"/>
      <c r="J391" s="37" t="str">
        <f aca="false">IF(A391="","",MONTH(A391))</f>
        <v/>
      </c>
      <c r="K391" s="37" t="str">
        <f aca="false">IF(A391="","",YEAR(A391))</f>
        <v/>
      </c>
      <c r="L391" s="37"/>
    </row>
    <row r="392" customFormat="false" ht="21.75" hidden="false" customHeight="true" outlineLevel="0" collapsed="false">
      <c r="A392" s="42"/>
      <c r="B392" s="42"/>
      <c r="C392" s="42"/>
      <c r="D392" s="42"/>
      <c r="E392" s="42"/>
      <c r="F392" s="45" t="str">
        <f aca="false">IF(E392="","",ROUND(E392*0.2,2))</f>
        <v/>
      </c>
      <c r="G392" s="45" t="str">
        <f aca="false">IF(E392="","",E392+F392)</f>
        <v/>
      </c>
      <c r="H392" s="42"/>
      <c r="I392" s="42"/>
      <c r="J392" s="42" t="str">
        <f aca="false">IF(A392="","",MONTH(A392))</f>
        <v/>
      </c>
      <c r="K392" s="42" t="str">
        <f aca="false">IF(A392="","",YEAR(A392))</f>
        <v/>
      </c>
      <c r="L392" s="42"/>
    </row>
    <row r="393" customFormat="false" ht="21.75" hidden="false" customHeight="true" outlineLevel="0" collapsed="false">
      <c r="A393" s="37"/>
      <c r="B393" s="37"/>
      <c r="C393" s="37"/>
      <c r="D393" s="37"/>
      <c r="E393" s="37"/>
      <c r="F393" s="40" t="str">
        <f aca="false">IF(E393="","",ROUND(E393*0.2,2))</f>
        <v/>
      </c>
      <c r="G393" s="40" t="str">
        <f aca="false">IF(E393="","",E393+F393)</f>
        <v/>
      </c>
      <c r="H393" s="37"/>
      <c r="I393" s="37"/>
      <c r="J393" s="37" t="str">
        <f aca="false">IF(A393="","",MONTH(A393))</f>
        <v/>
      </c>
      <c r="K393" s="37" t="str">
        <f aca="false">IF(A393="","",YEAR(A393))</f>
        <v/>
      </c>
      <c r="L393" s="37"/>
    </row>
    <row r="394" customFormat="false" ht="21.75" hidden="false" customHeight="true" outlineLevel="0" collapsed="false">
      <c r="A394" s="42"/>
      <c r="B394" s="42"/>
      <c r="C394" s="42"/>
      <c r="D394" s="42"/>
      <c r="E394" s="42"/>
      <c r="F394" s="45" t="str">
        <f aca="false">IF(E394="","",ROUND(E394*0.2,2))</f>
        <v/>
      </c>
      <c r="G394" s="45" t="str">
        <f aca="false">IF(E394="","",E394+F394)</f>
        <v/>
      </c>
      <c r="H394" s="42"/>
      <c r="I394" s="42"/>
      <c r="J394" s="42" t="str">
        <f aca="false">IF(A394="","",MONTH(A394))</f>
        <v/>
      </c>
      <c r="K394" s="42" t="str">
        <f aca="false">IF(A394="","",YEAR(A394))</f>
        <v/>
      </c>
      <c r="L394" s="42"/>
    </row>
    <row r="395" customFormat="false" ht="21.75" hidden="false" customHeight="true" outlineLevel="0" collapsed="false">
      <c r="A395" s="37"/>
      <c r="B395" s="37"/>
      <c r="C395" s="37"/>
      <c r="D395" s="37"/>
      <c r="E395" s="37"/>
      <c r="F395" s="40" t="str">
        <f aca="false">IF(E395="","",ROUND(E395*0.2,2))</f>
        <v/>
      </c>
      <c r="G395" s="40" t="str">
        <f aca="false">IF(E395="","",E395+F395)</f>
        <v/>
      </c>
      <c r="H395" s="37"/>
      <c r="I395" s="37"/>
      <c r="J395" s="37" t="str">
        <f aca="false">IF(A395="","",MONTH(A395))</f>
        <v/>
      </c>
      <c r="K395" s="37" t="str">
        <f aca="false">IF(A395="","",YEAR(A395))</f>
        <v/>
      </c>
      <c r="L395" s="37"/>
    </row>
    <row r="396" customFormat="false" ht="21.75" hidden="false" customHeight="true" outlineLevel="0" collapsed="false">
      <c r="A396" s="42"/>
      <c r="B396" s="42"/>
      <c r="C396" s="42"/>
      <c r="D396" s="42"/>
      <c r="E396" s="42"/>
      <c r="F396" s="45" t="str">
        <f aca="false">IF(E396="","",ROUND(E396*0.2,2))</f>
        <v/>
      </c>
      <c r="G396" s="45" t="str">
        <f aca="false">IF(E396="","",E396+F396)</f>
        <v/>
      </c>
      <c r="H396" s="42"/>
      <c r="I396" s="42"/>
      <c r="J396" s="42" t="str">
        <f aca="false">IF(A396="","",MONTH(A396))</f>
        <v/>
      </c>
      <c r="K396" s="42" t="str">
        <f aca="false">IF(A396="","",YEAR(A396))</f>
        <v/>
      </c>
      <c r="L396" s="42"/>
    </row>
    <row r="397" customFormat="false" ht="21.75" hidden="false" customHeight="true" outlineLevel="0" collapsed="false">
      <c r="A397" s="37"/>
      <c r="B397" s="37"/>
      <c r="C397" s="37"/>
      <c r="D397" s="37"/>
      <c r="E397" s="37"/>
      <c r="F397" s="40" t="str">
        <f aca="false">IF(E397="","",ROUND(E397*0.2,2))</f>
        <v/>
      </c>
      <c r="G397" s="40" t="str">
        <f aca="false">IF(E397="","",E397+F397)</f>
        <v/>
      </c>
      <c r="H397" s="37"/>
      <c r="I397" s="37"/>
      <c r="J397" s="37" t="str">
        <f aca="false">IF(A397="","",MONTH(A397))</f>
        <v/>
      </c>
      <c r="K397" s="37" t="str">
        <f aca="false">IF(A397="","",YEAR(A397))</f>
        <v/>
      </c>
      <c r="L397" s="37"/>
    </row>
    <row r="398" customFormat="false" ht="21.75" hidden="false" customHeight="true" outlineLevel="0" collapsed="false">
      <c r="A398" s="42"/>
      <c r="B398" s="42"/>
      <c r="C398" s="42"/>
      <c r="D398" s="42"/>
      <c r="E398" s="42"/>
      <c r="F398" s="45" t="str">
        <f aca="false">IF(E398="","",ROUND(E398*0.2,2))</f>
        <v/>
      </c>
      <c r="G398" s="45" t="str">
        <f aca="false">IF(E398="","",E398+F398)</f>
        <v/>
      </c>
      <c r="H398" s="42"/>
      <c r="I398" s="42"/>
      <c r="J398" s="42" t="str">
        <f aca="false">IF(A398="","",MONTH(A398))</f>
        <v/>
      </c>
      <c r="K398" s="42" t="str">
        <f aca="false">IF(A398="","",YEAR(A398))</f>
        <v/>
      </c>
      <c r="L398" s="42"/>
    </row>
    <row r="399" customFormat="false" ht="21.75" hidden="false" customHeight="true" outlineLevel="0" collapsed="false">
      <c r="A399" s="37"/>
      <c r="B399" s="37"/>
      <c r="C399" s="37"/>
      <c r="D399" s="37"/>
      <c r="E399" s="37"/>
      <c r="F399" s="40" t="str">
        <f aca="false">IF(E399="","",ROUND(E399*0.2,2))</f>
        <v/>
      </c>
      <c r="G399" s="40" t="str">
        <f aca="false">IF(E399="","",E399+F399)</f>
        <v/>
      </c>
      <c r="H399" s="37"/>
      <c r="I399" s="37"/>
      <c r="J399" s="37" t="str">
        <f aca="false">IF(A399="","",MONTH(A399))</f>
        <v/>
      </c>
      <c r="K399" s="37" t="str">
        <f aca="false">IF(A399="","",YEAR(A399))</f>
        <v/>
      </c>
      <c r="L399" s="37"/>
    </row>
    <row r="400" customFormat="false" ht="21.75" hidden="false" customHeight="true" outlineLevel="0" collapsed="false">
      <c r="A400" s="42"/>
      <c r="B400" s="42"/>
      <c r="C400" s="42"/>
      <c r="D400" s="42"/>
      <c r="E400" s="42"/>
      <c r="F400" s="45" t="str">
        <f aca="false">IF(E400="","",ROUND(E400*0.2,2))</f>
        <v/>
      </c>
      <c r="G400" s="45" t="str">
        <f aca="false">IF(E400="","",E400+F400)</f>
        <v/>
      </c>
      <c r="H400" s="42"/>
      <c r="I400" s="42"/>
      <c r="J400" s="42" t="str">
        <f aca="false">IF(A400="","",MONTH(A400))</f>
        <v/>
      </c>
      <c r="K400" s="42" t="str">
        <f aca="false">IF(A400="","",YEAR(A400))</f>
        <v/>
      </c>
      <c r="L400" s="42"/>
    </row>
    <row r="401" customFormat="false" ht="21.75" hidden="false" customHeight="true" outlineLevel="0" collapsed="false">
      <c r="A401" s="37"/>
      <c r="B401" s="37"/>
      <c r="C401" s="37"/>
      <c r="D401" s="37"/>
      <c r="E401" s="37"/>
      <c r="F401" s="40" t="str">
        <f aca="false">IF(E401="","",ROUND(E401*0.2,2))</f>
        <v/>
      </c>
      <c r="G401" s="40" t="str">
        <f aca="false">IF(E401="","",E401+F401)</f>
        <v/>
      </c>
      <c r="H401" s="37"/>
      <c r="I401" s="37"/>
      <c r="J401" s="37" t="str">
        <f aca="false">IF(A401="","",MONTH(A401))</f>
        <v/>
      </c>
      <c r="K401" s="37" t="str">
        <f aca="false">IF(A401="","",YEAR(A401))</f>
        <v/>
      </c>
      <c r="L401" s="37"/>
    </row>
    <row r="402" customFormat="false" ht="21.75" hidden="false" customHeight="true" outlineLevel="0" collapsed="false">
      <c r="A402" s="42"/>
      <c r="B402" s="42"/>
      <c r="C402" s="42"/>
      <c r="D402" s="42"/>
      <c r="E402" s="42"/>
      <c r="F402" s="45" t="str">
        <f aca="false">IF(E402="","",ROUND(E402*0.2,2))</f>
        <v/>
      </c>
      <c r="G402" s="45" t="str">
        <f aca="false">IF(E402="","",E402+F402)</f>
        <v/>
      </c>
      <c r="H402" s="42"/>
      <c r="I402" s="42"/>
      <c r="J402" s="42" t="str">
        <f aca="false">IF(A402="","",MONTH(A402))</f>
        <v/>
      </c>
      <c r="K402" s="42" t="str">
        <f aca="false">IF(A402="","",YEAR(A402))</f>
        <v/>
      </c>
      <c r="L402" s="42"/>
    </row>
    <row r="403" customFormat="false" ht="21.75" hidden="false" customHeight="true" outlineLevel="0" collapsed="false">
      <c r="A403" s="37"/>
      <c r="B403" s="37"/>
      <c r="C403" s="37"/>
      <c r="D403" s="37"/>
      <c r="E403" s="37"/>
      <c r="F403" s="40" t="str">
        <f aca="false">IF(E403="","",ROUND(E403*0.2,2))</f>
        <v/>
      </c>
      <c r="G403" s="40" t="str">
        <f aca="false">IF(E403="","",E403+F403)</f>
        <v/>
      </c>
      <c r="H403" s="37"/>
      <c r="I403" s="37"/>
      <c r="J403" s="37" t="str">
        <f aca="false">IF(A403="","",MONTH(A403))</f>
        <v/>
      </c>
      <c r="K403" s="37" t="str">
        <f aca="false">IF(A403="","",YEAR(A403))</f>
        <v/>
      </c>
      <c r="L403" s="37"/>
    </row>
    <row r="404" customFormat="false" ht="21.75" hidden="false" customHeight="true" outlineLevel="0" collapsed="false">
      <c r="A404" s="42"/>
      <c r="B404" s="42"/>
      <c r="C404" s="42"/>
      <c r="D404" s="42"/>
      <c r="E404" s="42"/>
      <c r="F404" s="45" t="str">
        <f aca="false">IF(E404="","",ROUND(E404*0.2,2))</f>
        <v/>
      </c>
      <c r="G404" s="45" t="str">
        <f aca="false">IF(E404="","",E404+F404)</f>
        <v/>
      </c>
      <c r="H404" s="42"/>
      <c r="I404" s="42"/>
      <c r="J404" s="42" t="str">
        <f aca="false">IF(A404="","",MONTH(A404))</f>
        <v/>
      </c>
      <c r="K404" s="42" t="str">
        <f aca="false">IF(A404="","",YEAR(A404))</f>
        <v/>
      </c>
      <c r="L404" s="42"/>
    </row>
    <row r="405" customFormat="false" ht="21.75" hidden="false" customHeight="true" outlineLevel="0" collapsed="false">
      <c r="A405" s="37"/>
      <c r="B405" s="37"/>
      <c r="C405" s="37"/>
      <c r="D405" s="37"/>
      <c r="E405" s="37"/>
      <c r="F405" s="40" t="str">
        <f aca="false">IF(E405="","",ROUND(E405*0.2,2))</f>
        <v/>
      </c>
      <c r="G405" s="40" t="str">
        <f aca="false">IF(E405="","",E405+F405)</f>
        <v/>
      </c>
      <c r="H405" s="37"/>
      <c r="I405" s="37"/>
      <c r="J405" s="37" t="str">
        <f aca="false">IF(A405="","",MONTH(A405))</f>
        <v/>
      </c>
      <c r="K405" s="37" t="str">
        <f aca="false">IF(A405="","",YEAR(A405))</f>
        <v/>
      </c>
      <c r="L405" s="37"/>
    </row>
    <row r="406" customFormat="false" ht="21.75" hidden="false" customHeight="true" outlineLevel="0" collapsed="false">
      <c r="A406" s="42"/>
      <c r="B406" s="42"/>
      <c r="C406" s="42"/>
      <c r="D406" s="42"/>
      <c r="E406" s="42"/>
      <c r="F406" s="45" t="str">
        <f aca="false">IF(E406="","",ROUND(E406*0.2,2))</f>
        <v/>
      </c>
      <c r="G406" s="45" t="str">
        <f aca="false">IF(E406="","",E406+F406)</f>
        <v/>
      </c>
      <c r="H406" s="42"/>
      <c r="I406" s="42"/>
      <c r="J406" s="42" t="str">
        <f aca="false">IF(A406="","",MONTH(A406))</f>
        <v/>
      </c>
      <c r="K406" s="42" t="str">
        <f aca="false">IF(A406="","",YEAR(A406))</f>
        <v/>
      </c>
      <c r="L406" s="42"/>
    </row>
    <row r="407" customFormat="false" ht="21.75" hidden="false" customHeight="true" outlineLevel="0" collapsed="false">
      <c r="A407" s="37"/>
      <c r="B407" s="37"/>
      <c r="C407" s="37"/>
      <c r="D407" s="37"/>
      <c r="E407" s="37"/>
      <c r="F407" s="40" t="str">
        <f aca="false">IF(E407="","",ROUND(E407*0.2,2))</f>
        <v/>
      </c>
      <c r="G407" s="40" t="str">
        <f aca="false">IF(E407="","",E407+F407)</f>
        <v/>
      </c>
      <c r="H407" s="37"/>
      <c r="I407" s="37"/>
      <c r="J407" s="37" t="str">
        <f aca="false">IF(A407="","",MONTH(A407))</f>
        <v/>
      </c>
      <c r="K407" s="37" t="str">
        <f aca="false">IF(A407="","",YEAR(A407))</f>
        <v/>
      </c>
      <c r="L407" s="37"/>
    </row>
    <row r="408" customFormat="false" ht="21.75" hidden="false" customHeight="true" outlineLevel="0" collapsed="false">
      <c r="A408" s="42"/>
      <c r="B408" s="42"/>
      <c r="C408" s="42"/>
      <c r="D408" s="42"/>
      <c r="E408" s="42"/>
      <c r="F408" s="45" t="str">
        <f aca="false">IF(E408="","",ROUND(E408*0.2,2))</f>
        <v/>
      </c>
      <c r="G408" s="45" t="str">
        <f aca="false">IF(E408="","",E408+F408)</f>
        <v/>
      </c>
      <c r="H408" s="42"/>
      <c r="I408" s="42"/>
      <c r="J408" s="42" t="str">
        <f aca="false">IF(A408="","",MONTH(A408))</f>
        <v/>
      </c>
      <c r="K408" s="42" t="str">
        <f aca="false">IF(A408="","",YEAR(A408))</f>
        <v/>
      </c>
      <c r="L408" s="42"/>
    </row>
    <row r="409" customFormat="false" ht="21.75" hidden="false" customHeight="true" outlineLevel="0" collapsed="false">
      <c r="A409" s="37"/>
      <c r="B409" s="37"/>
      <c r="C409" s="37"/>
      <c r="D409" s="37"/>
      <c r="E409" s="37"/>
      <c r="F409" s="40" t="str">
        <f aca="false">IF(E409="","",ROUND(E409*0.2,2))</f>
        <v/>
      </c>
      <c r="G409" s="40" t="str">
        <f aca="false">IF(E409="","",E409+F409)</f>
        <v/>
      </c>
      <c r="H409" s="37"/>
      <c r="I409" s="37"/>
      <c r="J409" s="37" t="str">
        <f aca="false">IF(A409="","",MONTH(A409))</f>
        <v/>
      </c>
      <c r="K409" s="37" t="str">
        <f aca="false">IF(A409="","",YEAR(A409))</f>
        <v/>
      </c>
      <c r="L409" s="37"/>
    </row>
    <row r="410" customFormat="false" ht="21.75" hidden="false" customHeight="true" outlineLevel="0" collapsed="false">
      <c r="A410" s="42"/>
      <c r="B410" s="42"/>
      <c r="C410" s="42"/>
      <c r="D410" s="42"/>
      <c r="E410" s="42"/>
      <c r="F410" s="45" t="str">
        <f aca="false">IF(E410="","",ROUND(E410*0.2,2))</f>
        <v/>
      </c>
      <c r="G410" s="45" t="str">
        <f aca="false">IF(E410="","",E410+F410)</f>
        <v/>
      </c>
      <c r="H410" s="42"/>
      <c r="I410" s="42"/>
      <c r="J410" s="42" t="str">
        <f aca="false">IF(A410="","",MONTH(A410))</f>
        <v/>
      </c>
      <c r="K410" s="42" t="str">
        <f aca="false">IF(A410="","",YEAR(A410))</f>
        <v/>
      </c>
      <c r="L410" s="42"/>
    </row>
    <row r="411" customFormat="false" ht="21.75" hidden="false" customHeight="true" outlineLevel="0" collapsed="false">
      <c r="A411" s="37"/>
      <c r="B411" s="37"/>
      <c r="C411" s="37"/>
      <c r="D411" s="37"/>
      <c r="E411" s="37"/>
      <c r="F411" s="40" t="str">
        <f aca="false">IF(E411="","",ROUND(E411*0.2,2))</f>
        <v/>
      </c>
      <c r="G411" s="40" t="str">
        <f aca="false">IF(E411="","",E411+F411)</f>
        <v/>
      </c>
      <c r="H411" s="37"/>
      <c r="I411" s="37"/>
      <c r="J411" s="37" t="str">
        <f aca="false">IF(A411="","",MONTH(A411))</f>
        <v/>
      </c>
      <c r="K411" s="37" t="str">
        <f aca="false">IF(A411="","",YEAR(A411))</f>
        <v/>
      </c>
      <c r="L411" s="37"/>
    </row>
    <row r="412" customFormat="false" ht="21.75" hidden="false" customHeight="true" outlineLevel="0" collapsed="false">
      <c r="A412" s="42"/>
      <c r="B412" s="42"/>
      <c r="C412" s="42"/>
      <c r="D412" s="42"/>
      <c r="E412" s="42"/>
      <c r="F412" s="45" t="str">
        <f aca="false">IF(E412="","",ROUND(E412*0.2,2))</f>
        <v/>
      </c>
      <c r="G412" s="45" t="str">
        <f aca="false">IF(E412="","",E412+F412)</f>
        <v/>
      </c>
      <c r="H412" s="42"/>
      <c r="I412" s="42"/>
      <c r="J412" s="42" t="str">
        <f aca="false">IF(A412="","",MONTH(A412))</f>
        <v/>
      </c>
      <c r="K412" s="42" t="str">
        <f aca="false">IF(A412="","",YEAR(A412))</f>
        <v/>
      </c>
      <c r="L412" s="42"/>
    </row>
    <row r="413" customFormat="false" ht="21.75" hidden="false" customHeight="true" outlineLevel="0" collapsed="false">
      <c r="A413" s="37"/>
      <c r="B413" s="37"/>
      <c r="C413" s="37"/>
      <c r="D413" s="37"/>
      <c r="E413" s="37"/>
      <c r="F413" s="40" t="str">
        <f aca="false">IF(E413="","",ROUND(E413*0.2,2))</f>
        <v/>
      </c>
      <c r="G413" s="40" t="str">
        <f aca="false">IF(E413="","",E413+F413)</f>
        <v/>
      </c>
      <c r="H413" s="37"/>
      <c r="I413" s="37"/>
      <c r="J413" s="37" t="str">
        <f aca="false">IF(A413="","",MONTH(A413))</f>
        <v/>
      </c>
      <c r="K413" s="37" t="str">
        <f aca="false">IF(A413="","",YEAR(A413))</f>
        <v/>
      </c>
      <c r="L413" s="37"/>
    </row>
    <row r="414" customFormat="false" ht="21.75" hidden="false" customHeight="true" outlineLevel="0" collapsed="false">
      <c r="A414" s="42"/>
      <c r="B414" s="42"/>
      <c r="C414" s="42"/>
      <c r="D414" s="42"/>
      <c r="E414" s="42"/>
      <c r="F414" s="45" t="str">
        <f aca="false">IF(E414="","",ROUND(E414*0.2,2))</f>
        <v/>
      </c>
      <c r="G414" s="45" t="str">
        <f aca="false">IF(E414="","",E414+F414)</f>
        <v/>
      </c>
      <c r="H414" s="42"/>
      <c r="I414" s="42"/>
      <c r="J414" s="42" t="str">
        <f aca="false">IF(A414="","",MONTH(A414))</f>
        <v/>
      </c>
      <c r="K414" s="42" t="str">
        <f aca="false">IF(A414="","",YEAR(A414))</f>
        <v/>
      </c>
      <c r="L414" s="42"/>
    </row>
    <row r="415" customFormat="false" ht="21.75" hidden="false" customHeight="true" outlineLevel="0" collapsed="false">
      <c r="A415" s="37"/>
      <c r="B415" s="37"/>
      <c r="C415" s="37"/>
      <c r="D415" s="37"/>
      <c r="E415" s="37"/>
      <c r="F415" s="40" t="str">
        <f aca="false">IF(E415="","",ROUND(E415*0.2,2))</f>
        <v/>
      </c>
      <c r="G415" s="40" t="str">
        <f aca="false">IF(E415="","",E415+F415)</f>
        <v/>
      </c>
      <c r="H415" s="37"/>
      <c r="I415" s="37"/>
      <c r="J415" s="37" t="str">
        <f aca="false">IF(A415="","",MONTH(A415))</f>
        <v/>
      </c>
      <c r="K415" s="37" t="str">
        <f aca="false">IF(A415="","",YEAR(A415))</f>
        <v/>
      </c>
      <c r="L415" s="37"/>
    </row>
    <row r="416" customFormat="false" ht="21.75" hidden="false" customHeight="true" outlineLevel="0" collapsed="false">
      <c r="A416" s="42"/>
      <c r="B416" s="42"/>
      <c r="C416" s="42"/>
      <c r="D416" s="42"/>
      <c r="E416" s="42"/>
      <c r="F416" s="45" t="str">
        <f aca="false">IF(E416="","",ROUND(E416*0.2,2))</f>
        <v/>
      </c>
      <c r="G416" s="45" t="str">
        <f aca="false">IF(E416="","",E416+F416)</f>
        <v/>
      </c>
      <c r="H416" s="42"/>
      <c r="I416" s="42"/>
      <c r="J416" s="42" t="str">
        <f aca="false">IF(A416="","",MONTH(A416))</f>
        <v/>
      </c>
      <c r="K416" s="42" t="str">
        <f aca="false">IF(A416="","",YEAR(A416))</f>
        <v/>
      </c>
      <c r="L416" s="42"/>
    </row>
    <row r="417" customFormat="false" ht="21.75" hidden="false" customHeight="true" outlineLevel="0" collapsed="false">
      <c r="A417" s="37"/>
      <c r="B417" s="37"/>
      <c r="C417" s="37"/>
      <c r="D417" s="37"/>
      <c r="E417" s="37"/>
      <c r="F417" s="40" t="str">
        <f aca="false">IF(E417="","",ROUND(E417*0.2,2))</f>
        <v/>
      </c>
      <c r="G417" s="40" t="str">
        <f aca="false">IF(E417="","",E417+F417)</f>
        <v/>
      </c>
      <c r="H417" s="37"/>
      <c r="I417" s="37"/>
      <c r="J417" s="37" t="str">
        <f aca="false">IF(A417="","",MONTH(A417))</f>
        <v/>
      </c>
      <c r="K417" s="37" t="str">
        <f aca="false">IF(A417="","",YEAR(A417))</f>
        <v/>
      </c>
      <c r="L417" s="37"/>
    </row>
    <row r="418" customFormat="false" ht="21.75" hidden="false" customHeight="true" outlineLevel="0" collapsed="false">
      <c r="A418" s="42"/>
      <c r="B418" s="42"/>
      <c r="C418" s="42"/>
      <c r="D418" s="42"/>
      <c r="E418" s="42"/>
      <c r="F418" s="45" t="str">
        <f aca="false">IF(E418="","",ROUND(E418*0.2,2))</f>
        <v/>
      </c>
      <c r="G418" s="45" t="str">
        <f aca="false">IF(E418="","",E418+F418)</f>
        <v/>
      </c>
      <c r="H418" s="42"/>
      <c r="I418" s="42"/>
      <c r="J418" s="42" t="str">
        <f aca="false">IF(A418="","",MONTH(A418))</f>
        <v/>
      </c>
      <c r="K418" s="42" t="str">
        <f aca="false">IF(A418="","",YEAR(A418))</f>
        <v/>
      </c>
      <c r="L418" s="42"/>
    </row>
    <row r="419" customFormat="false" ht="21.75" hidden="false" customHeight="true" outlineLevel="0" collapsed="false">
      <c r="A419" s="37"/>
      <c r="B419" s="37"/>
      <c r="C419" s="37"/>
      <c r="D419" s="37"/>
      <c r="E419" s="37"/>
      <c r="F419" s="40" t="str">
        <f aca="false">IF(E419="","",ROUND(E419*0.2,2))</f>
        <v/>
      </c>
      <c r="G419" s="40" t="str">
        <f aca="false">IF(E419="","",E419+F419)</f>
        <v/>
      </c>
      <c r="H419" s="37"/>
      <c r="I419" s="37"/>
      <c r="J419" s="37" t="str">
        <f aca="false">IF(A419="","",MONTH(A419))</f>
        <v/>
      </c>
      <c r="K419" s="37" t="str">
        <f aca="false">IF(A419="","",YEAR(A419))</f>
        <v/>
      </c>
      <c r="L419" s="37"/>
    </row>
    <row r="420" customFormat="false" ht="21.75" hidden="false" customHeight="true" outlineLevel="0" collapsed="false">
      <c r="A420" s="42"/>
      <c r="B420" s="42"/>
      <c r="C420" s="42"/>
      <c r="D420" s="42"/>
      <c r="E420" s="42"/>
      <c r="F420" s="45" t="str">
        <f aca="false">IF(E420="","",ROUND(E420*0.2,2))</f>
        <v/>
      </c>
      <c r="G420" s="45" t="str">
        <f aca="false">IF(E420="","",E420+F420)</f>
        <v/>
      </c>
      <c r="H420" s="42"/>
      <c r="I420" s="42"/>
      <c r="J420" s="42" t="str">
        <f aca="false">IF(A420="","",MONTH(A420))</f>
        <v/>
      </c>
      <c r="K420" s="42" t="str">
        <f aca="false">IF(A420="","",YEAR(A420))</f>
        <v/>
      </c>
      <c r="L420" s="42"/>
    </row>
    <row r="421" customFormat="false" ht="21.75" hidden="false" customHeight="true" outlineLevel="0" collapsed="false">
      <c r="A421" s="37"/>
      <c r="B421" s="37"/>
      <c r="C421" s="37"/>
      <c r="D421" s="37"/>
      <c r="E421" s="37"/>
      <c r="F421" s="40" t="str">
        <f aca="false">IF(E421="","",ROUND(E421*0.2,2))</f>
        <v/>
      </c>
      <c r="G421" s="40" t="str">
        <f aca="false">IF(E421="","",E421+F421)</f>
        <v/>
      </c>
      <c r="H421" s="37"/>
      <c r="I421" s="37"/>
      <c r="J421" s="37" t="str">
        <f aca="false">IF(A421="","",MONTH(A421))</f>
        <v/>
      </c>
      <c r="K421" s="37" t="str">
        <f aca="false">IF(A421="","",YEAR(A421))</f>
        <v/>
      </c>
      <c r="L421" s="37"/>
    </row>
    <row r="422" customFormat="false" ht="21.75" hidden="false" customHeight="true" outlineLevel="0" collapsed="false">
      <c r="A422" s="42"/>
      <c r="B422" s="42"/>
      <c r="C422" s="42"/>
      <c r="D422" s="42"/>
      <c r="E422" s="42"/>
      <c r="F422" s="45" t="str">
        <f aca="false">IF(E422="","",ROUND(E422*0.2,2))</f>
        <v/>
      </c>
      <c r="G422" s="45" t="str">
        <f aca="false">IF(E422="","",E422+F422)</f>
        <v/>
      </c>
      <c r="H422" s="42"/>
      <c r="I422" s="42"/>
      <c r="J422" s="42" t="str">
        <f aca="false">IF(A422="","",MONTH(A422))</f>
        <v/>
      </c>
      <c r="K422" s="42" t="str">
        <f aca="false">IF(A422="","",YEAR(A422))</f>
        <v/>
      </c>
      <c r="L422" s="42"/>
    </row>
    <row r="423" customFormat="false" ht="21.75" hidden="false" customHeight="true" outlineLevel="0" collapsed="false">
      <c r="A423" s="37"/>
      <c r="B423" s="37"/>
      <c r="C423" s="37"/>
      <c r="D423" s="37"/>
      <c r="E423" s="37"/>
      <c r="F423" s="40" t="str">
        <f aca="false">IF(E423="","",ROUND(E423*0.2,2))</f>
        <v/>
      </c>
      <c r="G423" s="40" t="str">
        <f aca="false">IF(E423="","",E423+F423)</f>
        <v/>
      </c>
      <c r="H423" s="37"/>
      <c r="I423" s="37"/>
      <c r="J423" s="37" t="str">
        <f aca="false">IF(A423="","",MONTH(A423))</f>
        <v/>
      </c>
      <c r="K423" s="37" t="str">
        <f aca="false">IF(A423="","",YEAR(A423))</f>
        <v/>
      </c>
      <c r="L423" s="37"/>
    </row>
    <row r="424" customFormat="false" ht="21.75" hidden="false" customHeight="true" outlineLevel="0" collapsed="false">
      <c r="A424" s="42"/>
      <c r="B424" s="42"/>
      <c r="C424" s="42"/>
      <c r="D424" s="42"/>
      <c r="E424" s="42"/>
      <c r="F424" s="45" t="str">
        <f aca="false">IF(E424="","",ROUND(E424*0.2,2))</f>
        <v/>
      </c>
      <c r="G424" s="45" t="str">
        <f aca="false">IF(E424="","",E424+F424)</f>
        <v/>
      </c>
      <c r="H424" s="42"/>
      <c r="I424" s="42"/>
      <c r="J424" s="42" t="str">
        <f aca="false">IF(A424="","",MONTH(A424))</f>
        <v/>
      </c>
      <c r="K424" s="42" t="str">
        <f aca="false">IF(A424="","",YEAR(A424))</f>
        <v/>
      </c>
      <c r="L424" s="42"/>
    </row>
    <row r="425" customFormat="false" ht="21.75" hidden="false" customHeight="true" outlineLevel="0" collapsed="false">
      <c r="A425" s="37"/>
      <c r="B425" s="37"/>
      <c r="C425" s="37"/>
      <c r="D425" s="37"/>
      <c r="E425" s="37"/>
      <c r="F425" s="40" t="str">
        <f aca="false">IF(E425="","",ROUND(E425*0.2,2))</f>
        <v/>
      </c>
      <c r="G425" s="40" t="str">
        <f aca="false">IF(E425="","",E425+F425)</f>
        <v/>
      </c>
      <c r="H425" s="37"/>
      <c r="I425" s="37"/>
      <c r="J425" s="37" t="str">
        <f aca="false">IF(A425="","",MONTH(A425))</f>
        <v/>
      </c>
      <c r="K425" s="37" t="str">
        <f aca="false">IF(A425="","",YEAR(A425))</f>
        <v/>
      </c>
      <c r="L425" s="37"/>
    </row>
    <row r="426" customFormat="false" ht="21.75" hidden="false" customHeight="true" outlineLevel="0" collapsed="false">
      <c r="A426" s="42"/>
      <c r="B426" s="42"/>
      <c r="C426" s="42"/>
      <c r="D426" s="42"/>
      <c r="E426" s="42"/>
      <c r="F426" s="45" t="str">
        <f aca="false">IF(E426="","",ROUND(E426*0.2,2))</f>
        <v/>
      </c>
      <c r="G426" s="45" t="str">
        <f aca="false">IF(E426="","",E426+F426)</f>
        <v/>
      </c>
      <c r="H426" s="42"/>
      <c r="I426" s="42"/>
      <c r="J426" s="42" t="str">
        <f aca="false">IF(A426="","",MONTH(A426))</f>
        <v/>
      </c>
      <c r="K426" s="42" t="str">
        <f aca="false">IF(A426="","",YEAR(A426))</f>
        <v/>
      </c>
      <c r="L426" s="42"/>
    </row>
    <row r="427" customFormat="false" ht="21.75" hidden="false" customHeight="true" outlineLevel="0" collapsed="false">
      <c r="A427" s="37"/>
      <c r="B427" s="37"/>
      <c r="C427" s="37"/>
      <c r="D427" s="37"/>
      <c r="E427" s="37"/>
      <c r="F427" s="40" t="str">
        <f aca="false">IF(E427="","",ROUND(E427*0.2,2))</f>
        <v/>
      </c>
      <c r="G427" s="40" t="str">
        <f aca="false">IF(E427="","",E427+F427)</f>
        <v/>
      </c>
      <c r="H427" s="37"/>
      <c r="I427" s="37"/>
      <c r="J427" s="37" t="str">
        <f aca="false">IF(A427="","",MONTH(A427))</f>
        <v/>
      </c>
      <c r="K427" s="37" t="str">
        <f aca="false">IF(A427="","",YEAR(A427))</f>
        <v/>
      </c>
      <c r="L427" s="37"/>
    </row>
    <row r="428" customFormat="false" ht="21.75" hidden="false" customHeight="true" outlineLevel="0" collapsed="false">
      <c r="A428" s="42"/>
      <c r="B428" s="42"/>
      <c r="C428" s="42"/>
      <c r="D428" s="42"/>
      <c r="E428" s="42"/>
      <c r="F428" s="45" t="str">
        <f aca="false">IF(E428="","",ROUND(E428*0.2,2))</f>
        <v/>
      </c>
      <c r="G428" s="45" t="str">
        <f aca="false">IF(E428="","",E428+F428)</f>
        <v/>
      </c>
      <c r="H428" s="42"/>
      <c r="I428" s="42"/>
      <c r="J428" s="42" t="str">
        <f aca="false">IF(A428="","",MONTH(A428))</f>
        <v/>
      </c>
      <c r="K428" s="42" t="str">
        <f aca="false">IF(A428="","",YEAR(A428))</f>
        <v/>
      </c>
      <c r="L428" s="42"/>
    </row>
    <row r="429" customFormat="false" ht="21.75" hidden="false" customHeight="true" outlineLevel="0" collapsed="false">
      <c r="A429" s="37"/>
      <c r="B429" s="37"/>
      <c r="C429" s="37"/>
      <c r="D429" s="37"/>
      <c r="E429" s="37"/>
      <c r="F429" s="40" t="str">
        <f aca="false">IF(E429="","",ROUND(E429*0.2,2))</f>
        <v/>
      </c>
      <c r="G429" s="40" t="str">
        <f aca="false">IF(E429="","",E429+F429)</f>
        <v/>
      </c>
      <c r="H429" s="37"/>
      <c r="I429" s="37"/>
      <c r="J429" s="37" t="str">
        <f aca="false">IF(A429="","",MONTH(A429))</f>
        <v/>
      </c>
      <c r="K429" s="37" t="str">
        <f aca="false">IF(A429="","",YEAR(A429))</f>
        <v/>
      </c>
      <c r="L429" s="37"/>
    </row>
    <row r="430" customFormat="false" ht="21.75" hidden="false" customHeight="true" outlineLevel="0" collapsed="false">
      <c r="A430" s="42"/>
      <c r="B430" s="42"/>
      <c r="C430" s="42"/>
      <c r="D430" s="42"/>
      <c r="E430" s="42"/>
      <c r="F430" s="45" t="str">
        <f aca="false">IF(E430="","",ROUND(E430*0.2,2))</f>
        <v/>
      </c>
      <c r="G430" s="45" t="str">
        <f aca="false">IF(E430="","",E430+F430)</f>
        <v/>
      </c>
      <c r="H430" s="42"/>
      <c r="I430" s="42"/>
      <c r="J430" s="42" t="str">
        <f aca="false">IF(A430="","",MONTH(A430))</f>
        <v/>
      </c>
      <c r="K430" s="42" t="str">
        <f aca="false">IF(A430="","",YEAR(A430))</f>
        <v/>
      </c>
      <c r="L430" s="42"/>
    </row>
    <row r="431" customFormat="false" ht="21.75" hidden="false" customHeight="true" outlineLevel="0" collapsed="false">
      <c r="A431" s="37"/>
      <c r="B431" s="37"/>
      <c r="C431" s="37"/>
      <c r="D431" s="37"/>
      <c r="E431" s="37"/>
      <c r="F431" s="40" t="str">
        <f aca="false">IF(E431="","",ROUND(E431*0.2,2))</f>
        <v/>
      </c>
      <c r="G431" s="40" t="str">
        <f aca="false">IF(E431="","",E431+F431)</f>
        <v/>
      </c>
      <c r="H431" s="37"/>
      <c r="I431" s="37"/>
      <c r="J431" s="37" t="str">
        <f aca="false">IF(A431="","",MONTH(A431))</f>
        <v/>
      </c>
      <c r="K431" s="37" t="str">
        <f aca="false">IF(A431="","",YEAR(A431))</f>
        <v/>
      </c>
      <c r="L431" s="37"/>
    </row>
    <row r="432" customFormat="false" ht="21.75" hidden="false" customHeight="true" outlineLevel="0" collapsed="false">
      <c r="A432" s="42"/>
      <c r="B432" s="42"/>
      <c r="C432" s="42"/>
      <c r="D432" s="42"/>
      <c r="E432" s="42"/>
      <c r="F432" s="45" t="str">
        <f aca="false">IF(E432="","",ROUND(E432*0.2,2))</f>
        <v/>
      </c>
      <c r="G432" s="45" t="str">
        <f aca="false">IF(E432="","",E432+F432)</f>
        <v/>
      </c>
      <c r="H432" s="42"/>
      <c r="I432" s="42"/>
      <c r="J432" s="42" t="str">
        <f aca="false">IF(A432="","",MONTH(A432))</f>
        <v/>
      </c>
      <c r="K432" s="42" t="str">
        <f aca="false">IF(A432="","",YEAR(A432))</f>
        <v/>
      </c>
      <c r="L432" s="42"/>
    </row>
    <row r="433" customFormat="false" ht="21.75" hidden="false" customHeight="true" outlineLevel="0" collapsed="false">
      <c r="A433" s="37"/>
      <c r="B433" s="37"/>
      <c r="C433" s="37"/>
      <c r="D433" s="37"/>
      <c r="E433" s="37"/>
      <c r="F433" s="40" t="str">
        <f aca="false">IF(E433="","",ROUND(E433*0.2,2))</f>
        <v/>
      </c>
      <c r="G433" s="40" t="str">
        <f aca="false">IF(E433="","",E433+F433)</f>
        <v/>
      </c>
      <c r="H433" s="37"/>
      <c r="I433" s="37"/>
      <c r="J433" s="37" t="str">
        <f aca="false">IF(A433="","",MONTH(A433))</f>
        <v/>
      </c>
      <c r="K433" s="37" t="str">
        <f aca="false">IF(A433="","",YEAR(A433))</f>
        <v/>
      </c>
      <c r="L433" s="37"/>
    </row>
    <row r="434" customFormat="false" ht="21.75" hidden="false" customHeight="true" outlineLevel="0" collapsed="false">
      <c r="A434" s="42"/>
      <c r="B434" s="42"/>
      <c r="C434" s="42"/>
      <c r="D434" s="42"/>
      <c r="E434" s="42"/>
      <c r="F434" s="45" t="str">
        <f aca="false">IF(E434="","",ROUND(E434*0.2,2))</f>
        <v/>
      </c>
      <c r="G434" s="45" t="str">
        <f aca="false">IF(E434="","",E434+F434)</f>
        <v/>
      </c>
      <c r="H434" s="42"/>
      <c r="I434" s="42"/>
      <c r="J434" s="42" t="str">
        <f aca="false">IF(A434="","",MONTH(A434))</f>
        <v/>
      </c>
      <c r="K434" s="42" t="str">
        <f aca="false">IF(A434="","",YEAR(A434))</f>
        <v/>
      </c>
      <c r="L434" s="42"/>
    </row>
    <row r="435" customFormat="false" ht="21.75" hidden="false" customHeight="true" outlineLevel="0" collapsed="false">
      <c r="A435" s="37"/>
      <c r="B435" s="37"/>
      <c r="C435" s="37"/>
      <c r="D435" s="37"/>
      <c r="E435" s="37"/>
      <c r="F435" s="40" t="str">
        <f aca="false">IF(E435="","",ROUND(E435*0.2,2))</f>
        <v/>
      </c>
      <c r="G435" s="40" t="str">
        <f aca="false">IF(E435="","",E435+F435)</f>
        <v/>
      </c>
      <c r="H435" s="37"/>
      <c r="I435" s="37"/>
      <c r="J435" s="37" t="str">
        <f aca="false">IF(A435="","",MONTH(A435))</f>
        <v/>
      </c>
      <c r="K435" s="37" t="str">
        <f aca="false">IF(A435="","",YEAR(A435))</f>
        <v/>
      </c>
      <c r="L435" s="37"/>
    </row>
    <row r="436" customFormat="false" ht="21.75" hidden="false" customHeight="true" outlineLevel="0" collapsed="false">
      <c r="A436" s="42"/>
      <c r="B436" s="42"/>
      <c r="C436" s="42"/>
      <c r="D436" s="42"/>
      <c r="E436" s="42"/>
      <c r="F436" s="45" t="str">
        <f aca="false">IF(E436="","",ROUND(E436*0.2,2))</f>
        <v/>
      </c>
      <c r="G436" s="45" t="str">
        <f aca="false">IF(E436="","",E436+F436)</f>
        <v/>
      </c>
      <c r="H436" s="42"/>
      <c r="I436" s="42"/>
      <c r="J436" s="42" t="str">
        <f aca="false">IF(A436="","",MONTH(A436))</f>
        <v/>
      </c>
      <c r="K436" s="42" t="str">
        <f aca="false">IF(A436="","",YEAR(A436))</f>
        <v/>
      </c>
      <c r="L436" s="42"/>
    </row>
    <row r="437" customFormat="false" ht="21.75" hidden="false" customHeight="true" outlineLevel="0" collapsed="false">
      <c r="A437" s="37"/>
      <c r="B437" s="37"/>
      <c r="C437" s="37"/>
      <c r="D437" s="37"/>
      <c r="E437" s="37"/>
      <c r="F437" s="40" t="str">
        <f aca="false">IF(E437="","",ROUND(E437*0.2,2))</f>
        <v/>
      </c>
      <c r="G437" s="40" t="str">
        <f aca="false">IF(E437="","",E437+F437)</f>
        <v/>
      </c>
      <c r="H437" s="37"/>
      <c r="I437" s="37"/>
      <c r="J437" s="37" t="str">
        <f aca="false">IF(A437="","",MONTH(A437))</f>
        <v/>
      </c>
      <c r="K437" s="37" t="str">
        <f aca="false">IF(A437="","",YEAR(A437))</f>
        <v/>
      </c>
      <c r="L437" s="37"/>
    </row>
    <row r="438" customFormat="false" ht="21.75" hidden="false" customHeight="true" outlineLevel="0" collapsed="false">
      <c r="A438" s="42"/>
      <c r="B438" s="42"/>
      <c r="C438" s="42"/>
      <c r="D438" s="42"/>
      <c r="E438" s="42"/>
      <c r="F438" s="45" t="str">
        <f aca="false">IF(E438="","",ROUND(E438*0.2,2))</f>
        <v/>
      </c>
      <c r="G438" s="45" t="str">
        <f aca="false">IF(E438="","",E438+F438)</f>
        <v/>
      </c>
      <c r="H438" s="42"/>
      <c r="I438" s="42"/>
      <c r="J438" s="42" t="str">
        <f aca="false">IF(A438="","",MONTH(A438))</f>
        <v/>
      </c>
      <c r="K438" s="42" t="str">
        <f aca="false">IF(A438="","",YEAR(A438))</f>
        <v/>
      </c>
      <c r="L438" s="42"/>
    </row>
    <row r="439" customFormat="false" ht="21.75" hidden="false" customHeight="true" outlineLevel="0" collapsed="false">
      <c r="A439" s="37"/>
      <c r="B439" s="37"/>
      <c r="C439" s="37"/>
      <c r="D439" s="37"/>
      <c r="E439" s="37"/>
      <c r="F439" s="40" t="str">
        <f aca="false">IF(E439="","",ROUND(E439*0.2,2))</f>
        <v/>
      </c>
      <c r="G439" s="40" t="str">
        <f aca="false">IF(E439="","",E439+F439)</f>
        <v/>
      </c>
      <c r="H439" s="37"/>
      <c r="I439" s="37"/>
      <c r="J439" s="37" t="str">
        <f aca="false">IF(A439="","",MONTH(A439))</f>
        <v/>
      </c>
      <c r="K439" s="37" t="str">
        <f aca="false">IF(A439="","",YEAR(A439))</f>
        <v/>
      </c>
      <c r="L439" s="37"/>
    </row>
    <row r="440" customFormat="false" ht="21.75" hidden="false" customHeight="true" outlineLevel="0" collapsed="false">
      <c r="A440" s="42"/>
      <c r="B440" s="42"/>
      <c r="C440" s="42"/>
      <c r="D440" s="42"/>
      <c r="E440" s="42"/>
      <c r="F440" s="45" t="str">
        <f aca="false">IF(E440="","",ROUND(E440*0.2,2))</f>
        <v/>
      </c>
      <c r="G440" s="45" t="str">
        <f aca="false">IF(E440="","",E440+F440)</f>
        <v/>
      </c>
      <c r="H440" s="42"/>
      <c r="I440" s="42"/>
      <c r="J440" s="42" t="str">
        <f aca="false">IF(A440="","",MONTH(A440))</f>
        <v/>
      </c>
      <c r="K440" s="42" t="str">
        <f aca="false">IF(A440="","",YEAR(A440))</f>
        <v/>
      </c>
      <c r="L440" s="42"/>
    </row>
    <row r="441" customFormat="false" ht="21.75" hidden="false" customHeight="true" outlineLevel="0" collapsed="false">
      <c r="A441" s="37"/>
      <c r="B441" s="37"/>
      <c r="C441" s="37"/>
      <c r="D441" s="37"/>
      <c r="E441" s="37"/>
      <c r="F441" s="40" t="str">
        <f aca="false">IF(E441="","",ROUND(E441*0.2,2))</f>
        <v/>
      </c>
      <c r="G441" s="40" t="str">
        <f aca="false">IF(E441="","",E441+F441)</f>
        <v/>
      </c>
      <c r="H441" s="37"/>
      <c r="I441" s="37"/>
      <c r="J441" s="37" t="str">
        <f aca="false">IF(A441="","",MONTH(A441))</f>
        <v/>
      </c>
      <c r="K441" s="37" t="str">
        <f aca="false">IF(A441="","",YEAR(A441))</f>
        <v/>
      </c>
      <c r="L441" s="37"/>
    </row>
    <row r="442" customFormat="false" ht="21.75" hidden="false" customHeight="true" outlineLevel="0" collapsed="false">
      <c r="A442" s="42"/>
      <c r="B442" s="42"/>
      <c r="C442" s="42"/>
      <c r="D442" s="42"/>
      <c r="E442" s="42"/>
      <c r="F442" s="45" t="str">
        <f aca="false">IF(E442="","",ROUND(E442*0.2,2))</f>
        <v/>
      </c>
      <c r="G442" s="45" t="str">
        <f aca="false">IF(E442="","",E442+F442)</f>
        <v/>
      </c>
      <c r="H442" s="42"/>
      <c r="I442" s="42"/>
      <c r="J442" s="42" t="str">
        <f aca="false">IF(A442="","",MONTH(A442))</f>
        <v/>
      </c>
      <c r="K442" s="42" t="str">
        <f aca="false">IF(A442="","",YEAR(A442))</f>
        <v/>
      </c>
      <c r="L442" s="42"/>
    </row>
    <row r="443" customFormat="false" ht="21.75" hidden="false" customHeight="true" outlineLevel="0" collapsed="false">
      <c r="A443" s="37"/>
      <c r="B443" s="37"/>
      <c r="C443" s="37"/>
      <c r="D443" s="37"/>
      <c r="E443" s="37"/>
      <c r="F443" s="40" t="str">
        <f aca="false">IF(E443="","",ROUND(E443*0.2,2))</f>
        <v/>
      </c>
      <c r="G443" s="40" t="str">
        <f aca="false">IF(E443="","",E443+F443)</f>
        <v/>
      </c>
      <c r="H443" s="37"/>
      <c r="I443" s="37"/>
      <c r="J443" s="37" t="str">
        <f aca="false">IF(A443="","",MONTH(A443))</f>
        <v/>
      </c>
      <c r="K443" s="37" t="str">
        <f aca="false">IF(A443="","",YEAR(A443))</f>
        <v/>
      </c>
      <c r="L443" s="37"/>
    </row>
    <row r="444" customFormat="false" ht="21.75" hidden="false" customHeight="true" outlineLevel="0" collapsed="false">
      <c r="A444" s="42"/>
      <c r="B444" s="42"/>
      <c r="C444" s="42"/>
      <c r="D444" s="42"/>
      <c r="E444" s="42"/>
      <c r="F444" s="45" t="str">
        <f aca="false">IF(E444="","",ROUND(E444*0.2,2))</f>
        <v/>
      </c>
      <c r="G444" s="45" t="str">
        <f aca="false">IF(E444="","",E444+F444)</f>
        <v/>
      </c>
      <c r="H444" s="42"/>
      <c r="I444" s="42"/>
      <c r="J444" s="42" t="str">
        <f aca="false">IF(A444="","",MONTH(A444))</f>
        <v/>
      </c>
      <c r="K444" s="42" t="str">
        <f aca="false">IF(A444="","",YEAR(A444))</f>
        <v/>
      </c>
      <c r="L444" s="42"/>
    </row>
    <row r="445" customFormat="false" ht="21.75" hidden="false" customHeight="true" outlineLevel="0" collapsed="false">
      <c r="A445" s="37"/>
      <c r="B445" s="37"/>
      <c r="C445" s="37"/>
      <c r="D445" s="37"/>
      <c r="E445" s="37"/>
      <c r="F445" s="40" t="str">
        <f aca="false">IF(E445="","",ROUND(E445*0.2,2))</f>
        <v/>
      </c>
      <c r="G445" s="40" t="str">
        <f aca="false">IF(E445="","",E445+F445)</f>
        <v/>
      </c>
      <c r="H445" s="37"/>
      <c r="I445" s="37"/>
      <c r="J445" s="37" t="str">
        <f aca="false">IF(A445="","",MONTH(A445))</f>
        <v/>
      </c>
      <c r="K445" s="37" t="str">
        <f aca="false">IF(A445="","",YEAR(A445))</f>
        <v/>
      </c>
      <c r="L445" s="37"/>
    </row>
    <row r="446" customFormat="false" ht="21.75" hidden="false" customHeight="true" outlineLevel="0" collapsed="false">
      <c r="A446" s="42"/>
      <c r="B446" s="42"/>
      <c r="C446" s="42"/>
      <c r="D446" s="42"/>
      <c r="E446" s="42"/>
      <c r="F446" s="45" t="str">
        <f aca="false">IF(E446="","",ROUND(E446*0.2,2))</f>
        <v/>
      </c>
      <c r="G446" s="45" t="str">
        <f aca="false">IF(E446="","",E446+F446)</f>
        <v/>
      </c>
      <c r="H446" s="42"/>
      <c r="I446" s="42"/>
      <c r="J446" s="42" t="str">
        <f aca="false">IF(A446="","",MONTH(A446))</f>
        <v/>
      </c>
      <c r="K446" s="42" t="str">
        <f aca="false">IF(A446="","",YEAR(A446))</f>
        <v/>
      </c>
      <c r="L446" s="42"/>
    </row>
    <row r="447" customFormat="false" ht="21.75" hidden="false" customHeight="true" outlineLevel="0" collapsed="false">
      <c r="A447" s="37"/>
      <c r="B447" s="37"/>
      <c r="C447" s="37"/>
      <c r="D447" s="37"/>
      <c r="E447" s="37"/>
      <c r="F447" s="40" t="str">
        <f aca="false">IF(E447="","",ROUND(E447*0.2,2))</f>
        <v/>
      </c>
      <c r="G447" s="40" t="str">
        <f aca="false">IF(E447="","",E447+F447)</f>
        <v/>
      </c>
      <c r="H447" s="37"/>
      <c r="I447" s="37"/>
      <c r="J447" s="37" t="str">
        <f aca="false">IF(A447="","",MONTH(A447))</f>
        <v/>
      </c>
      <c r="K447" s="37" t="str">
        <f aca="false">IF(A447="","",YEAR(A447))</f>
        <v/>
      </c>
      <c r="L447" s="37"/>
    </row>
    <row r="448" customFormat="false" ht="21.75" hidden="false" customHeight="true" outlineLevel="0" collapsed="false">
      <c r="A448" s="42"/>
      <c r="B448" s="42"/>
      <c r="C448" s="42"/>
      <c r="D448" s="42"/>
      <c r="E448" s="42"/>
      <c r="F448" s="45" t="str">
        <f aca="false">IF(E448="","",ROUND(E448*0.2,2))</f>
        <v/>
      </c>
      <c r="G448" s="45" t="str">
        <f aca="false">IF(E448="","",E448+F448)</f>
        <v/>
      </c>
      <c r="H448" s="42"/>
      <c r="I448" s="42"/>
      <c r="J448" s="42" t="str">
        <f aca="false">IF(A448="","",MONTH(A448))</f>
        <v/>
      </c>
      <c r="K448" s="42" t="str">
        <f aca="false">IF(A448="","",YEAR(A448))</f>
        <v/>
      </c>
      <c r="L448" s="42"/>
    </row>
    <row r="449" customFormat="false" ht="21.75" hidden="false" customHeight="true" outlineLevel="0" collapsed="false">
      <c r="A449" s="37"/>
      <c r="B449" s="37"/>
      <c r="C449" s="37"/>
      <c r="D449" s="37"/>
      <c r="E449" s="37"/>
      <c r="F449" s="40" t="str">
        <f aca="false">IF(E449="","",ROUND(E449*0.2,2))</f>
        <v/>
      </c>
      <c r="G449" s="40" t="str">
        <f aca="false">IF(E449="","",E449+F449)</f>
        <v/>
      </c>
      <c r="H449" s="37"/>
      <c r="I449" s="37"/>
      <c r="J449" s="37" t="str">
        <f aca="false">IF(A449="","",MONTH(A449))</f>
        <v/>
      </c>
      <c r="K449" s="37" t="str">
        <f aca="false">IF(A449="","",YEAR(A449))</f>
        <v/>
      </c>
      <c r="L449" s="37"/>
    </row>
    <row r="450" customFormat="false" ht="21.75" hidden="false" customHeight="true" outlineLevel="0" collapsed="false">
      <c r="A450" s="42"/>
      <c r="B450" s="42"/>
      <c r="C450" s="42"/>
      <c r="D450" s="42"/>
      <c r="E450" s="42"/>
      <c r="F450" s="45" t="str">
        <f aca="false">IF(E450="","",ROUND(E450*0.2,2))</f>
        <v/>
      </c>
      <c r="G450" s="45" t="str">
        <f aca="false">IF(E450="","",E450+F450)</f>
        <v/>
      </c>
      <c r="H450" s="42"/>
      <c r="I450" s="42"/>
      <c r="J450" s="42" t="str">
        <f aca="false">IF(A450="","",MONTH(A450))</f>
        <v/>
      </c>
      <c r="K450" s="42" t="str">
        <f aca="false">IF(A450="","",YEAR(A450))</f>
        <v/>
      </c>
      <c r="L450" s="42"/>
    </row>
    <row r="451" customFormat="false" ht="21.75" hidden="false" customHeight="true" outlineLevel="0" collapsed="false">
      <c r="A451" s="37"/>
      <c r="B451" s="37"/>
      <c r="C451" s="37"/>
      <c r="D451" s="37"/>
      <c r="E451" s="37"/>
      <c r="F451" s="40" t="str">
        <f aca="false">IF(E451="","",ROUND(E451*0.2,2))</f>
        <v/>
      </c>
      <c r="G451" s="40" t="str">
        <f aca="false">IF(E451="","",E451+F451)</f>
        <v/>
      </c>
      <c r="H451" s="37"/>
      <c r="I451" s="37"/>
      <c r="J451" s="37" t="str">
        <f aca="false">IF(A451="","",MONTH(A451))</f>
        <v/>
      </c>
      <c r="K451" s="37" t="str">
        <f aca="false">IF(A451="","",YEAR(A451))</f>
        <v/>
      </c>
      <c r="L451" s="37"/>
    </row>
    <row r="452" customFormat="false" ht="21.75" hidden="false" customHeight="true" outlineLevel="0" collapsed="false">
      <c r="A452" s="42"/>
      <c r="B452" s="42"/>
      <c r="C452" s="42"/>
      <c r="D452" s="42"/>
      <c r="E452" s="42"/>
      <c r="F452" s="45" t="str">
        <f aca="false">IF(E452="","",ROUND(E452*0.2,2))</f>
        <v/>
      </c>
      <c r="G452" s="45" t="str">
        <f aca="false">IF(E452="","",E452+F452)</f>
        <v/>
      </c>
      <c r="H452" s="42"/>
      <c r="I452" s="42"/>
      <c r="J452" s="42" t="str">
        <f aca="false">IF(A452="","",MONTH(A452))</f>
        <v/>
      </c>
      <c r="K452" s="42" t="str">
        <f aca="false">IF(A452="","",YEAR(A452))</f>
        <v/>
      </c>
      <c r="L452" s="42"/>
    </row>
    <row r="453" customFormat="false" ht="21.75" hidden="false" customHeight="true" outlineLevel="0" collapsed="false">
      <c r="A453" s="37"/>
      <c r="B453" s="37"/>
      <c r="C453" s="37"/>
      <c r="D453" s="37"/>
      <c r="E453" s="37"/>
      <c r="F453" s="40" t="str">
        <f aca="false">IF(E453="","",ROUND(E453*0.2,2))</f>
        <v/>
      </c>
      <c r="G453" s="40" t="str">
        <f aca="false">IF(E453="","",E453+F453)</f>
        <v/>
      </c>
      <c r="H453" s="37"/>
      <c r="I453" s="37"/>
      <c r="J453" s="37" t="str">
        <f aca="false">IF(A453="","",MONTH(A453))</f>
        <v/>
      </c>
      <c r="K453" s="37" t="str">
        <f aca="false">IF(A453="","",YEAR(A453))</f>
        <v/>
      </c>
      <c r="L453" s="37"/>
    </row>
    <row r="454" customFormat="false" ht="21.75" hidden="false" customHeight="true" outlineLevel="0" collapsed="false">
      <c r="A454" s="42"/>
      <c r="B454" s="42"/>
      <c r="C454" s="42"/>
      <c r="D454" s="42"/>
      <c r="E454" s="42"/>
      <c r="F454" s="45" t="str">
        <f aca="false">IF(E454="","",ROUND(E454*0.2,2))</f>
        <v/>
      </c>
      <c r="G454" s="45" t="str">
        <f aca="false">IF(E454="","",E454+F454)</f>
        <v/>
      </c>
      <c r="H454" s="42"/>
      <c r="I454" s="42"/>
      <c r="J454" s="42" t="str">
        <f aca="false">IF(A454="","",MONTH(A454))</f>
        <v/>
      </c>
      <c r="K454" s="42" t="str">
        <f aca="false">IF(A454="","",YEAR(A454))</f>
        <v/>
      </c>
      <c r="L454" s="42"/>
    </row>
    <row r="455" customFormat="false" ht="21.75" hidden="false" customHeight="true" outlineLevel="0" collapsed="false">
      <c r="A455" s="37"/>
      <c r="B455" s="37"/>
      <c r="C455" s="37"/>
      <c r="D455" s="37"/>
      <c r="E455" s="37"/>
      <c r="F455" s="40" t="str">
        <f aca="false">IF(E455="","",ROUND(E455*0.2,2))</f>
        <v/>
      </c>
      <c r="G455" s="40" t="str">
        <f aca="false">IF(E455="","",E455+F455)</f>
        <v/>
      </c>
      <c r="H455" s="37"/>
      <c r="I455" s="37"/>
      <c r="J455" s="37" t="str">
        <f aca="false">IF(A455="","",MONTH(A455))</f>
        <v/>
      </c>
      <c r="K455" s="37" t="str">
        <f aca="false">IF(A455="","",YEAR(A455))</f>
        <v/>
      </c>
      <c r="L455" s="37"/>
    </row>
    <row r="456" customFormat="false" ht="21.75" hidden="false" customHeight="true" outlineLevel="0" collapsed="false">
      <c r="A456" s="42"/>
      <c r="B456" s="42"/>
      <c r="C456" s="42"/>
      <c r="D456" s="42"/>
      <c r="E456" s="42"/>
      <c r="F456" s="45" t="str">
        <f aca="false">IF(E456="","",ROUND(E456*0.2,2))</f>
        <v/>
      </c>
      <c r="G456" s="45" t="str">
        <f aca="false">IF(E456="","",E456+F456)</f>
        <v/>
      </c>
      <c r="H456" s="42"/>
      <c r="I456" s="42"/>
      <c r="J456" s="42" t="str">
        <f aca="false">IF(A456="","",MONTH(A456))</f>
        <v/>
      </c>
      <c r="K456" s="42" t="str">
        <f aca="false">IF(A456="","",YEAR(A456))</f>
        <v/>
      </c>
      <c r="L456" s="42"/>
    </row>
    <row r="457" customFormat="false" ht="21.75" hidden="false" customHeight="true" outlineLevel="0" collapsed="false">
      <c r="A457" s="37"/>
      <c r="B457" s="37"/>
      <c r="C457" s="37"/>
      <c r="D457" s="37"/>
      <c r="E457" s="37"/>
      <c r="F457" s="40" t="str">
        <f aca="false">IF(E457="","",ROUND(E457*0.2,2))</f>
        <v/>
      </c>
      <c r="G457" s="40" t="str">
        <f aca="false">IF(E457="","",E457+F457)</f>
        <v/>
      </c>
      <c r="H457" s="37"/>
      <c r="I457" s="37"/>
      <c r="J457" s="37" t="str">
        <f aca="false">IF(A457="","",MONTH(A457))</f>
        <v/>
      </c>
      <c r="K457" s="37" t="str">
        <f aca="false">IF(A457="","",YEAR(A457))</f>
        <v/>
      </c>
      <c r="L457" s="37"/>
    </row>
    <row r="458" customFormat="false" ht="21.75" hidden="false" customHeight="true" outlineLevel="0" collapsed="false">
      <c r="A458" s="42"/>
      <c r="B458" s="42"/>
      <c r="C458" s="42"/>
      <c r="D458" s="42"/>
      <c r="E458" s="42"/>
      <c r="F458" s="45" t="str">
        <f aca="false">IF(E458="","",ROUND(E458*0.2,2))</f>
        <v/>
      </c>
      <c r="G458" s="45" t="str">
        <f aca="false">IF(E458="","",E458+F458)</f>
        <v/>
      </c>
      <c r="H458" s="42"/>
      <c r="I458" s="42"/>
      <c r="J458" s="42" t="str">
        <f aca="false">IF(A458="","",MONTH(A458))</f>
        <v/>
      </c>
      <c r="K458" s="42" t="str">
        <f aca="false">IF(A458="","",YEAR(A458))</f>
        <v/>
      </c>
      <c r="L458" s="42"/>
    </row>
    <row r="459" customFormat="false" ht="21.75" hidden="false" customHeight="true" outlineLevel="0" collapsed="false">
      <c r="A459" s="37"/>
      <c r="B459" s="37"/>
      <c r="C459" s="37"/>
      <c r="D459" s="37"/>
      <c r="E459" s="37"/>
      <c r="F459" s="40" t="str">
        <f aca="false">IF(E459="","",ROUND(E459*0.2,2))</f>
        <v/>
      </c>
      <c r="G459" s="40" t="str">
        <f aca="false">IF(E459="","",E459+F459)</f>
        <v/>
      </c>
      <c r="H459" s="37"/>
      <c r="I459" s="37"/>
      <c r="J459" s="37" t="str">
        <f aca="false">IF(A459="","",MONTH(A459))</f>
        <v/>
      </c>
      <c r="K459" s="37" t="str">
        <f aca="false">IF(A459="","",YEAR(A459))</f>
        <v/>
      </c>
      <c r="L459" s="37"/>
    </row>
    <row r="460" customFormat="false" ht="21.75" hidden="false" customHeight="true" outlineLevel="0" collapsed="false">
      <c r="A460" s="42"/>
      <c r="B460" s="42"/>
      <c r="C460" s="42"/>
      <c r="D460" s="42"/>
      <c r="E460" s="42"/>
      <c r="F460" s="45" t="str">
        <f aca="false">IF(E460="","",ROUND(E460*0.2,2))</f>
        <v/>
      </c>
      <c r="G460" s="45" t="str">
        <f aca="false">IF(E460="","",E460+F460)</f>
        <v/>
      </c>
      <c r="H460" s="42"/>
      <c r="I460" s="42"/>
      <c r="J460" s="42" t="str">
        <f aca="false">IF(A460="","",MONTH(A460))</f>
        <v/>
      </c>
      <c r="K460" s="42" t="str">
        <f aca="false">IF(A460="","",YEAR(A460))</f>
        <v/>
      </c>
      <c r="L460" s="42"/>
    </row>
    <row r="461" customFormat="false" ht="21.75" hidden="false" customHeight="true" outlineLevel="0" collapsed="false">
      <c r="A461" s="37"/>
      <c r="B461" s="37"/>
      <c r="C461" s="37"/>
      <c r="D461" s="37"/>
      <c r="E461" s="37"/>
      <c r="F461" s="40" t="str">
        <f aca="false">IF(E461="","",ROUND(E461*0.2,2))</f>
        <v/>
      </c>
      <c r="G461" s="40" t="str">
        <f aca="false">IF(E461="","",E461+F461)</f>
        <v/>
      </c>
      <c r="H461" s="37"/>
      <c r="I461" s="37"/>
      <c r="J461" s="37" t="str">
        <f aca="false">IF(A461="","",MONTH(A461))</f>
        <v/>
      </c>
      <c r="K461" s="37" t="str">
        <f aca="false">IF(A461="","",YEAR(A461))</f>
        <v/>
      </c>
      <c r="L461" s="37"/>
    </row>
    <row r="462" customFormat="false" ht="21.75" hidden="false" customHeight="true" outlineLevel="0" collapsed="false">
      <c r="A462" s="42"/>
      <c r="B462" s="42"/>
      <c r="C462" s="42"/>
      <c r="D462" s="42"/>
      <c r="E462" s="42"/>
      <c r="F462" s="45" t="str">
        <f aca="false">IF(E462="","",ROUND(E462*0.2,2))</f>
        <v/>
      </c>
      <c r="G462" s="45" t="str">
        <f aca="false">IF(E462="","",E462+F462)</f>
        <v/>
      </c>
      <c r="H462" s="42"/>
      <c r="I462" s="42"/>
      <c r="J462" s="42" t="str">
        <f aca="false">IF(A462="","",MONTH(A462))</f>
        <v/>
      </c>
      <c r="K462" s="42" t="str">
        <f aca="false">IF(A462="","",YEAR(A462))</f>
        <v/>
      </c>
      <c r="L462" s="42"/>
    </row>
    <row r="463" customFormat="false" ht="21.75" hidden="false" customHeight="true" outlineLevel="0" collapsed="false">
      <c r="A463" s="37"/>
      <c r="B463" s="37"/>
      <c r="C463" s="37"/>
      <c r="D463" s="37"/>
      <c r="E463" s="37"/>
      <c r="F463" s="40" t="str">
        <f aca="false">IF(E463="","",ROUND(E463*0.2,2))</f>
        <v/>
      </c>
      <c r="G463" s="40" t="str">
        <f aca="false">IF(E463="","",E463+F463)</f>
        <v/>
      </c>
      <c r="H463" s="37"/>
      <c r="I463" s="37"/>
      <c r="J463" s="37" t="str">
        <f aca="false">IF(A463="","",MONTH(A463))</f>
        <v/>
      </c>
      <c r="K463" s="37" t="str">
        <f aca="false">IF(A463="","",YEAR(A463))</f>
        <v/>
      </c>
      <c r="L463" s="37"/>
    </row>
    <row r="464" customFormat="false" ht="21.75" hidden="false" customHeight="true" outlineLevel="0" collapsed="false">
      <c r="A464" s="42"/>
      <c r="B464" s="42"/>
      <c r="C464" s="42"/>
      <c r="D464" s="42"/>
      <c r="E464" s="42"/>
      <c r="F464" s="45" t="str">
        <f aca="false">IF(E464="","",ROUND(E464*0.2,2))</f>
        <v/>
      </c>
      <c r="G464" s="45" t="str">
        <f aca="false">IF(E464="","",E464+F464)</f>
        <v/>
      </c>
      <c r="H464" s="42"/>
      <c r="I464" s="42"/>
      <c r="J464" s="42" t="str">
        <f aca="false">IF(A464="","",MONTH(A464))</f>
        <v/>
      </c>
      <c r="K464" s="42" t="str">
        <f aca="false">IF(A464="","",YEAR(A464))</f>
        <v/>
      </c>
      <c r="L464" s="42"/>
    </row>
    <row r="465" customFormat="false" ht="21.75" hidden="false" customHeight="true" outlineLevel="0" collapsed="false">
      <c r="A465" s="37"/>
      <c r="B465" s="37"/>
      <c r="C465" s="37"/>
      <c r="D465" s="37"/>
      <c r="E465" s="37"/>
      <c r="F465" s="40" t="str">
        <f aca="false">IF(E465="","",ROUND(E465*0.2,2))</f>
        <v/>
      </c>
      <c r="G465" s="40" t="str">
        <f aca="false">IF(E465="","",E465+F465)</f>
        <v/>
      </c>
      <c r="H465" s="37"/>
      <c r="I465" s="37"/>
      <c r="J465" s="37" t="str">
        <f aca="false">IF(A465="","",MONTH(A465))</f>
        <v/>
      </c>
      <c r="K465" s="37" t="str">
        <f aca="false">IF(A465="","",YEAR(A465))</f>
        <v/>
      </c>
      <c r="L465" s="37"/>
    </row>
    <row r="466" customFormat="false" ht="21.75" hidden="false" customHeight="true" outlineLevel="0" collapsed="false">
      <c r="A466" s="42"/>
      <c r="B466" s="42"/>
      <c r="C466" s="42"/>
      <c r="D466" s="42"/>
      <c r="E466" s="42"/>
      <c r="F466" s="45" t="str">
        <f aca="false">IF(E466="","",ROUND(E466*0.2,2))</f>
        <v/>
      </c>
      <c r="G466" s="45" t="str">
        <f aca="false">IF(E466="","",E466+F466)</f>
        <v/>
      </c>
      <c r="H466" s="42"/>
      <c r="I466" s="42"/>
      <c r="J466" s="42" t="str">
        <f aca="false">IF(A466="","",MONTH(A466))</f>
        <v/>
      </c>
      <c r="K466" s="42" t="str">
        <f aca="false">IF(A466="","",YEAR(A466))</f>
        <v/>
      </c>
      <c r="L466" s="42"/>
    </row>
    <row r="467" customFormat="false" ht="21.75" hidden="false" customHeight="true" outlineLevel="0" collapsed="false">
      <c r="A467" s="37"/>
      <c r="B467" s="37"/>
      <c r="C467" s="37"/>
      <c r="D467" s="37"/>
      <c r="E467" s="37"/>
      <c r="F467" s="40" t="str">
        <f aca="false">IF(E467="","",ROUND(E467*0.2,2))</f>
        <v/>
      </c>
      <c r="G467" s="40" t="str">
        <f aca="false">IF(E467="","",E467+F467)</f>
        <v/>
      </c>
      <c r="H467" s="37"/>
      <c r="I467" s="37"/>
      <c r="J467" s="37" t="str">
        <f aca="false">IF(A467="","",MONTH(A467))</f>
        <v/>
      </c>
      <c r="K467" s="37" t="str">
        <f aca="false">IF(A467="","",YEAR(A467))</f>
        <v/>
      </c>
      <c r="L467" s="37"/>
    </row>
    <row r="468" customFormat="false" ht="21.75" hidden="false" customHeight="true" outlineLevel="0" collapsed="false">
      <c r="A468" s="42"/>
      <c r="B468" s="42"/>
      <c r="C468" s="42"/>
      <c r="D468" s="42"/>
      <c r="E468" s="42"/>
      <c r="F468" s="45" t="str">
        <f aca="false">IF(E468="","",ROUND(E468*0.2,2))</f>
        <v/>
      </c>
      <c r="G468" s="45" t="str">
        <f aca="false">IF(E468="","",E468+F468)</f>
        <v/>
      </c>
      <c r="H468" s="42"/>
      <c r="I468" s="42"/>
      <c r="J468" s="42" t="str">
        <f aca="false">IF(A468="","",MONTH(A468))</f>
        <v/>
      </c>
      <c r="K468" s="42" t="str">
        <f aca="false">IF(A468="","",YEAR(A468))</f>
        <v/>
      </c>
      <c r="L468" s="42"/>
    </row>
    <row r="469" customFormat="false" ht="21.75" hidden="false" customHeight="true" outlineLevel="0" collapsed="false">
      <c r="A469" s="37"/>
      <c r="B469" s="37"/>
      <c r="C469" s="37"/>
      <c r="D469" s="37"/>
      <c r="E469" s="37"/>
      <c r="F469" s="40" t="str">
        <f aca="false">IF(E469="","",ROUND(E469*0.2,2))</f>
        <v/>
      </c>
      <c r="G469" s="40" t="str">
        <f aca="false">IF(E469="","",E469+F469)</f>
        <v/>
      </c>
      <c r="H469" s="37"/>
      <c r="I469" s="37"/>
      <c r="J469" s="37" t="str">
        <f aca="false">IF(A469="","",MONTH(A469))</f>
        <v/>
      </c>
      <c r="K469" s="37" t="str">
        <f aca="false">IF(A469="","",YEAR(A469))</f>
        <v/>
      </c>
      <c r="L469" s="37"/>
    </row>
    <row r="470" customFormat="false" ht="21.75" hidden="false" customHeight="true" outlineLevel="0" collapsed="false">
      <c r="A470" s="42"/>
      <c r="B470" s="42"/>
      <c r="C470" s="42"/>
      <c r="D470" s="42"/>
      <c r="E470" s="42"/>
      <c r="F470" s="45" t="str">
        <f aca="false">IF(E470="","",ROUND(E470*0.2,2))</f>
        <v/>
      </c>
      <c r="G470" s="45" t="str">
        <f aca="false">IF(E470="","",E470+F470)</f>
        <v/>
      </c>
      <c r="H470" s="42"/>
      <c r="I470" s="42"/>
      <c r="J470" s="42" t="str">
        <f aca="false">IF(A470="","",MONTH(A470))</f>
        <v/>
      </c>
      <c r="K470" s="42" t="str">
        <f aca="false">IF(A470="","",YEAR(A470))</f>
        <v/>
      </c>
      <c r="L470" s="42"/>
    </row>
    <row r="471" customFormat="false" ht="21.75" hidden="false" customHeight="true" outlineLevel="0" collapsed="false">
      <c r="A471" s="37"/>
      <c r="B471" s="37"/>
      <c r="C471" s="37"/>
      <c r="D471" s="37"/>
      <c r="E471" s="37"/>
      <c r="F471" s="40" t="str">
        <f aca="false">IF(E471="","",ROUND(E471*0.2,2))</f>
        <v/>
      </c>
      <c r="G471" s="40" t="str">
        <f aca="false">IF(E471="","",E471+F471)</f>
        <v/>
      </c>
      <c r="H471" s="37"/>
      <c r="I471" s="37"/>
      <c r="J471" s="37" t="str">
        <f aca="false">IF(A471="","",MONTH(A471))</f>
        <v/>
      </c>
      <c r="K471" s="37" t="str">
        <f aca="false">IF(A471="","",YEAR(A471))</f>
        <v/>
      </c>
      <c r="L471" s="37"/>
    </row>
    <row r="472" customFormat="false" ht="21.75" hidden="false" customHeight="true" outlineLevel="0" collapsed="false">
      <c r="A472" s="42"/>
      <c r="B472" s="42"/>
      <c r="C472" s="42"/>
      <c r="D472" s="42"/>
      <c r="E472" s="42"/>
      <c r="F472" s="45" t="str">
        <f aca="false">IF(E472="","",ROUND(E472*0.2,2))</f>
        <v/>
      </c>
      <c r="G472" s="45" t="str">
        <f aca="false">IF(E472="","",E472+F472)</f>
        <v/>
      </c>
      <c r="H472" s="42"/>
      <c r="I472" s="42"/>
      <c r="J472" s="42" t="str">
        <f aca="false">IF(A472="","",MONTH(A472))</f>
        <v/>
      </c>
      <c r="K472" s="42" t="str">
        <f aca="false">IF(A472="","",YEAR(A472))</f>
        <v/>
      </c>
      <c r="L472" s="42"/>
    </row>
    <row r="473" customFormat="false" ht="21.75" hidden="false" customHeight="true" outlineLevel="0" collapsed="false">
      <c r="A473" s="37"/>
      <c r="B473" s="37"/>
      <c r="C473" s="37"/>
      <c r="D473" s="37"/>
      <c r="E473" s="37"/>
      <c r="F473" s="40" t="str">
        <f aca="false">IF(E473="","",ROUND(E473*0.2,2))</f>
        <v/>
      </c>
      <c r="G473" s="40" t="str">
        <f aca="false">IF(E473="","",E473+F473)</f>
        <v/>
      </c>
      <c r="H473" s="37"/>
      <c r="I473" s="37"/>
      <c r="J473" s="37" t="str">
        <f aca="false">IF(A473="","",MONTH(A473))</f>
        <v/>
      </c>
      <c r="K473" s="37" t="str">
        <f aca="false">IF(A473="","",YEAR(A473))</f>
        <v/>
      </c>
      <c r="L473" s="37"/>
    </row>
    <row r="474" customFormat="false" ht="21.75" hidden="false" customHeight="true" outlineLevel="0" collapsed="false">
      <c r="A474" s="42"/>
      <c r="B474" s="42"/>
      <c r="C474" s="42"/>
      <c r="D474" s="42"/>
      <c r="E474" s="42"/>
      <c r="F474" s="45" t="str">
        <f aca="false">IF(E474="","",ROUND(E474*0.2,2))</f>
        <v/>
      </c>
      <c r="G474" s="45" t="str">
        <f aca="false">IF(E474="","",E474+F474)</f>
        <v/>
      </c>
      <c r="H474" s="42"/>
      <c r="I474" s="42"/>
      <c r="J474" s="42" t="str">
        <f aca="false">IF(A474="","",MONTH(A474))</f>
        <v/>
      </c>
      <c r="K474" s="42" t="str">
        <f aca="false">IF(A474="","",YEAR(A474))</f>
        <v/>
      </c>
      <c r="L474" s="42"/>
    </row>
    <row r="475" customFormat="false" ht="21.75" hidden="false" customHeight="true" outlineLevel="0" collapsed="false">
      <c r="A475" s="37"/>
      <c r="B475" s="37"/>
      <c r="C475" s="37"/>
      <c r="D475" s="37"/>
      <c r="E475" s="37"/>
      <c r="F475" s="40" t="str">
        <f aca="false">IF(E475="","",ROUND(E475*0.2,2))</f>
        <v/>
      </c>
      <c r="G475" s="40" t="str">
        <f aca="false">IF(E475="","",E475+F475)</f>
        <v/>
      </c>
      <c r="H475" s="37"/>
      <c r="I475" s="37"/>
      <c r="J475" s="37" t="str">
        <f aca="false">IF(A475="","",MONTH(A475))</f>
        <v/>
      </c>
      <c r="K475" s="37" t="str">
        <f aca="false">IF(A475="","",YEAR(A475))</f>
        <v/>
      </c>
      <c r="L475" s="37"/>
    </row>
    <row r="476" customFormat="false" ht="21.75" hidden="false" customHeight="true" outlineLevel="0" collapsed="false">
      <c r="A476" s="42"/>
      <c r="B476" s="42"/>
      <c r="C476" s="42"/>
      <c r="D476" s="42"/>
      <c r="E476" s="42"/>
      <c r="F476" s="45" t="str">
        <f aca="false">IF(E476="","",ROUND(E476*0.2,2))</f>
        <v/>
      </c>
      <c r="G476" s="45" t="str">
        <f aca="false">IF(E476="","",E476+F476)</f>
        <v/>
      </c>
      <c r="H476" s="42"/>
      <c r="I476" s="42"/>
      <c r="J476" s="42" t="str">
        <f aca="false">IF(A476="","",MONTH(A476))</f>
        <v/>
      </c>
      <c r="K476" s="42" t="str">
        <f aca="false">IF(A476="","",YEAR(A476))</f>
        <v/>
      </c>
      <c r="L476" s="42"/>
    </row>
    <row r="477" customFormat="false" ht="21.75" hidden="false" customHeight="true" outlineLevel="0" collapsed="false">
      <c r="A477" s="37"/>
      <c r="B477" s="37"/>
      <c r="C477" s="37"/>
      <c r="D477" s="37"/>
      <c r="E477" s="37"/>
      <c r="F477" s="40" t="str">
        <f aca="false">IF(E477="","",ROUND(E477*0.2,2))</f>
        <v/>
      </c>
      <c r="G477" s="40" t="str">
        <f aca="false">IF(E477="","",E477+F477)</f>
        <v/>
      </c>
      <c r="H477" s="37"/>
      <c r="I477" s="37"/>
      <c r="J477" s="37" t="str">
        <f aca="false">IF(A477="","",MONTH(A477))</f>
        <v/>
      </c>
      <c r="K477" s="37" t="str">
        <f aca="false">IF(A477="","",YEAR(A477))</f>
        <v/>
      </c>
      <c r="L477" s="37"/>
    </row>
    <row r="478" customFormat="false" ht="21.75" hidden="false" customHeight="true" outlineLevel="0" collapsed="false">
      <c r="A478" s="42"/>
      <c r="B478" s="42"/>
      <c r="C478" s="42"/>
      <c r="D478" s="42"/>
      <c r="E478" s="42"/>
      <c r="F478" s="45" t="str">
        <f aca="false">IF(E478="","",ROUND(E478*0.2,2))</f>
        <v/>
      </c>
      <c r="G478" s="45" t="str">
        <f aca="false">IF(E478="","",E478+F478)</f>
        <v/>
      </c>
      <c r="H478" s="42"/>
      <c r="I478" s="42"/>
      <c r="J478" s="42" t="str">
        <f aca="false">IF(A478="","",MONTH(A478))</f>
        <v/>
      </c>
      <c r="K478" s="42" t="str">
        <f aca="false">IF(A478="","",YEAR(A478))</f>
        <v/>
      </c>
      <c r="L478" s="42"/>
    </row>
    <row r="479" customFormat="false" ht="21.75" hidden="false" customHeight="true" outlineLevel="0" collapsed="false">
      <c r="A479" s="37"/>
      <c r="B479" s="37"/>
      <c r="C479" s="37"/>
      <c r="D479" s="37"/>
      <c r="E479" s="37"/>
      <c r="F479" s="40" t="str">
        <f aca="false">IF(E479="","",ROUND(E479*0.2,2))</f>
        <v/>
      </c>
      <c r="G479" s="40" t="str">
        <f aca="false">IF(E479="","",E479+F479)</f>
        <v/>
      </c>
      <c r="H479" s="37"/>
      <c r="I479" s="37"/>
      <c r="J479" s="37" t="str">
        <f aca="false">IF(A479="","",MONTH(A479))</f>
        <v/>
      </c>
      <c r="K479" s="37" t="str">
        <f aca="false">IF(A479="","",YEAR(A479))</f>
        <v/>
      </c>
      <c r="L479" s="37"/>
    </row>
    <row r="480" customFormat="false" ht="21.75" hidden="false" customHeight="true" outlineLevel="0" collapsed="false">
      <c r="A480" s="42"/>
      <c r="B480" s="42"/>
      <c r="C480" s="42"/>
      <c r="D480" s="42"/>
      <c r="E480" s="42"/>
      <c r="F480" s="45" t="str">
        <f aca="false">IF(E480="","",ROUND(E480*0.2,2))</f>
        <v/>
      </c>
      <c r="G480" s="45" t="str">
        <f aca="false">IF(E480="","",E480+F480)</f>
        <v/>
      </c>
      <c r="H480" s="42"/>
      <c r="I480" s="42"/>
      <c r="J480" s="42" t="str">
        <f aca="false">IF(A480="","",MONTH(A480))</f>
        <v/>
      </c>
      <c r="K480" s="42" t="str">
        <f aca="false">IF(A480="","",YEAR(A480))</f>
        <v/>
      </c>
      <c r="L480" s="42"/>
    </row>
    <row r="481" customFormat="false" ht="21.75" hidden="false" customHeight="true" outlineLevel="0" collapsed="false">
      <c r="A481" s="37"/>
      <c r="B481" s="37"/>
      <c r="C481" s="37"/>
      <c r="D481" s="37"/>
      <c r="E481" s="37"/>
      <c r="F481" s="40" t="str">
        <f aca="false">IF(E481="","",ROUND(E481*0.2,2))</f>
        <v/>
      </c>
      <c r="G481" s="40" t="str">
        <f aca="false">IF(E481="","",E481+F481)</f>
        <v/>
      </c>
      <c r="H481" s="37"/>
      <c r="I481" s="37"/>
      <c r="J481" s="37" t="str">
        <f aca="false">IF(A481="","",MONTH(A481))</f>
        <v/>
      </c>
      <c r="K481" s="37" t="str">
        <f aca="false">IF(A481="","",YEAR(A481))</f>
        <v/>
      </c>
      <c r="L481" s="37"/>
    </row>
    <row r="482" customFormat="false" ht="21.75" hidden="false" customHeight="true" outlineLevel="0" collapsed="false">
      <c r="A482" s="42"/>
      <c r="B482" s="42"/>
      <c r="C482" s="42"/>
      <c r="D482" s="42"/>
      <c r="E482" s="42"/>
      <c r="F482" s="45" t="str">
        <f aca="false">IF(E482="","",ROUND(E482*0.2,2))</f>
        <v/>
      </c>
      <c r="G482" s="45" t="str">
        <f aca="false">IF(E482="","",E482+F482)</f>
        <v/>
      </c>
      <c r="H482" s="42"/>
      <c r="I482" s="42"/>
      <c r="J482" s="42" t="str">
        <f aca="false">IF(A482="","",MONTH(A482))</f>
        <v/>
      </c>
      <c r="K482" s="42" t="str">
        <f aca="false">IF(A482="","",YEAR(A482))</f>
        <v/>
      </c>
      <c r="L482" s="42"/>
    </row>
    <row r="483" customFormat="false" ht="21.75" hidden="false" customHeight="true" outlineLevel="0" collapsed="false">
      <c r="A483" s="37"/>
      <c r="B483" s="37"/>
      <c r="C483" s="37"/>
      <c r="D483" s="37"/>
      <c r="E483" s="37"/>
      <c r="F483" s="40" t="str">
        <f aca="false">IF(E483="","",ROUND(E483*0.2,2))</f>
        <v/>
      </c>
      <c r="G483" s="40" t="str">
        <f aca="false">IF(E483="","",E483+F483)</f>
        <v/>
      </c>
      <c r="H483" s="37"/>
      <c r="I483" s="37"/>
      <c r="J483" s="37" t="str">
        <f aca="false">IF(A483="","",MONTH(A483))</f>
        <v/>
      </c>
      <c r="K483" s="37" t="str">
        <f aca="false">IF(A483="","",YEAR(A483))</f>
        <v/>
      </c>
      <c r="L483" s="37"/>
    </row>
    <row r="484" customFormat="false" ht="21.75" hidden="false" customHeight="true" outlineLevel="0" collapsed="false">
      <c r="A484" s="42"/>
      <c r="B484" s="42"/>
      <c r="C484" s="42"/>
      <c r="D484" s="42"/>
      <c r="E484" s="42"/>
      <c r="F484" s="45" t="str">
        <f aca="false">IF(E484="","",ROUND(E484*0.2,2))</f>
        <v/>
      </c>
      <c r="G484" s="45" t="str">
        <f aca="false">IF(E484="","",E484+F484)</f>
        <v/>
      </c>
      <c r="H484" s="42"/>
      <c r="I484" s="42"/>
      <c r="J484" s="42" t="str">
        <f aca="false">IF(A484="","",MONTH(A484))</f>
        <v/>
      </c>
      <c r="K484" s="42" t="str">
        <f aca="false">IF(A484="","",YEAR(A484))</f>
        <v/>
      </c>
      <c r="L484" s="42"/>
    </row>
    <row r="485" customFormat="false" ht="21.75" hidden="false" customHeight="true" outlineLevel="0" collapsed="false">
      <c r="A485" s="37"/>
      <c r="B485" s="37"/>
      <c r="C485" s="37"/>
      <c r="D485" s="37"/>
      <c r="E485" s="37"/>
      <c r="F485" s="40" t="str">
        <f aca="false">IF(E485="","",ROUND(E485*0.2,2))</f>
        <v/>
      </c>
      <c r="G485" s="40" t="str">
        <f aca="false">IF(E485="","",E485+F485)</f>
        <v/>
      </c>
      <c r="H485" s="37"/>
      <c r="I485" s="37"/>
      <c r="J485" s="37" t="str">
        <f aca="false">IF(A485="","",MONTH(A485))</f>
        <v/>
      </c>
      <c r="K485" s="37" t="str">
        <f aca="false">IF(A485="","",YEAR(A485))</f>
        <v/>
      </c>
      <c r="L485" s="37"/>
    </row>
    <row r="486" customFormat="false" ht="21.75" hidden="false" customHeight="true" outlineLevel="0" collapsed="false">
      <c r="A486" s="42"/>
      <c r="B486" s="42"/>
      <c r="C486" s="42"/>
      <c r="D486" s="42"/>
      <c r="E486" s="42"/>
      <c r="F486" s="45" t="str">
        <f aca="false">IF(E486="","",ROUND(E486*0.2,2))</f>
        <v/>
      </c>
      <c r="G486" s="45" t="str">
        <f aca="false">IF(E486="","",E486+F486)</f>
        <v/>
      </c>
      <c r="H486" s="42"/>
      <c r="I486" s="42"/>
      <c r="J486" s="42" t="str">
        <f aca="false">IF(A486="","",MONTH(A486))</f>
        <v/>
      </c>
      <c r="K486" s="42" t="str">
        <f aca="false">IF(A486="","",YEAR(A486))</f>
        <v/>
      </c>
      <c r="L486" s="42"/>
    </row>
    <row r="487" customFormat="false" ht="21.75" hidden="false" customHeight="true" outlineLevel="0" collapsed="false">
      <c r="A487" s="37"/>
      <c r="B487" s="37"/>
      <c r="C487" s="37"/>
      <c r="D487" s="37"/>
      <c r="E487" s="37"/>
      <c r="F487" s="40" t="str">
        <f aca="false">IF(E487="","",ROUND(E487*0.2,2))</f>
        <v/>
      </c>
      <c r="G487" s="40" t="str">
        <f aca="false">IF(E487="","",E487+F487)</f>
        <v/>
      </c>
      <c r="H487" s="37"/>
      <c r="I487" s="37"/>
      <c r="J487" s="37" t="str">
        <f aca="false">IF(A487="","",MONTH(A487))</f>
        <v/>
      </c>
      <c r="K487" s="37" t="str">
        <f aca="false">IF(A487="","",YEAR(A487))</f>
        <v/>
      </c>
      <c r="L487" s="37"/>
    </row>
    <row r="488" customFormat="false" ht="21.75" hidden="false" customHeight="true" outlineLevel="0" collapsed="false">
      <c r="A488" s="42"/>
      <c r="B488" s="42"/>
      <c r="C488" s="42"/>
      <c r="D488" s="42"/>
      <c r="E488" s="42"/>
      <c r="F488" s="45" t="str">
        <f aca="false">IF(E488="","",ROUND(E488*0.2,2))</f>
        <v/>
      </c>
      <c r="G488" s="45" t="str">
        <f aca="false">IF(E488="","",E488+F488)</f>
        <v/>
      </c>
      <c r="H488" s="42"/>
      <c r="I488" s="42"/>
      <c r="J488" s="42" t="str">
        <f aca="false">IF(A488="","",MONTH(A488))</f>
        <v/>
      </c>
      <c r="K488" s="42" t="str">
        <f aca="false">IF(A488="","",YEAR(A488))</f>
        <v/>
      </c>
      <c r="L488" s="42"/>
    </row>
    <row r="489" customFormat="false" ht="21.75" hidden="false" customHeight="true" outlineLevel="0" collapsed="false">
      <c r="A489" s="37"/>
      <c r="B489" s="37"/>
      <c r="C489" s="37"/>
      <c r="D489" s="37"/>
      <c r="E489" s="37"/>
      <c r="F489" s="40" t="str">
        <f aca="false">IF(E489="","",ROUND(E489*0.2,2))</f>
        <v/>
      </c>
      <c r="G489" s="40" t="str">
        <f aca="false">IF(E489="","",E489+F489)</f>
        <v/>
      </c>
      <c r="H489" s="37"/>
      <c r="I489" s="37"/>
      <c r="J489" s="37" t="str">
        <f aca="false">IF(A489="","",MONTH(A489))</f>
        <v/>
      </c>
      <c r="K489" s="37" t="str">
        <f aca="false">IF(A489="","",YEAR(A489))</f>
        <v/>
      </c>
      <c r="L489" s="37"/>
    </row>
    <row r="490" customFormat="false" ht="21.75" hidden="false" customHeight="true" outlineLevel="0" collapsed="false">
      <c r="A490" s="42"/>
      <c r="B490" s="42"/>
      <c r="C490" s="42"/>
      <c r="D490" s="42"/>
      <c r="E490" s="42"/>
      <c r="F490" s="45" t="str">
        <f aca="false">IF(E490="","",ROUND(E490*0.2,2))</f>
        <v/>
      </c>
      <c r="G490" s="45" t="str">
        <f aca="false">IF(E490="","",E490+F490)</f>
        <v/>
      </c>
      <c r="H490" s="42"/>
      <c r="I490" s="42"/>
      <c r="J490" s="42" t="str">
        <f aca="false">IF(A490="","",MONTH(A490))</f>
        <v/>
      </c>
      <c r="K490" s="42" t="str">
        <f aca="false">IF(A490="","",YEAR(A490))</f>
        <v/>
      </c>
      <c r="L490" s="42"/>
    </row>
    <row r="491" customFormat="false" ht="21.75" hidden="false" customHeight="true" outlineLevel="0" collapsed="false">
      <c r="A491" s="37"/>
      <c r="B491" s="37"/>
      <c r="C491" s="37"/>
      <c r="D491" s="37"/>
      <c r="E491" s="37"/>
      <c r="F491" s="40" t="str">
        <f aca="false">IF(E491="","",ROUND(E491*0.2,2))</f>
        <v/>
      </c>
      <c r="G491" s="40" t="str">
        <f aca="false">IF(E491="","",E491+F491)</f>
        <v/>
      </c>
      <c r="H491" s="37"/>
      <c r="I491" s="37"/>
      <c r="J491" s="37" t="str">
        <f aca="false">IF(A491="","",MONTH(A491))</f>
        <v/>
      </c>
      <c r="K491" s="37" t="str">
        <f aca="false">IF(A491="","",YEAR(A491))</f>
        <v/>
      </c>
      <c r="L491" s="37"/>
    </row>
    <row r="492" customFormat="false" ht="21.75" hidden="false" customHeight="true" outlineLevel="0" collapsed="false">
      <c r="A492" s="42"/>
      <c r="B492" s="42"/>
      <c r="C492" s="42"/>
      <c r="D492" s="42"/>
      <c r="E492" s="42"/>
      <c r="F492" s="45" t="str">
        <f aca="false">IF(E492="","",ROUND(E492*0.2,2))</f>
        <v/>
      </c>
      <c r="G492" s="45" t="str">
        <f aca="false">IF(E492="","",E492+F492)</f>
        <v/>
      </c>
      <c r="H492" s="42"/>
      <c r="I492" s="42"/>
      <c r="J492" s="42" t="str">
        <f aca="false">IF(A492="","",MONTH(A492))</f>
        <v/>
      </c>
      <c r="K492" s="42" t="str">
        <f aca="false">IF(A492="","",YEAR(A492))</f>
        <v/>
      </c>
      <c r="L492" s="42"/>
    </row>
    <row r="493" customFormat="false" ht="21.75" hidden="false" customHeight="true" outlineLevel="0" collapsed="false">
      <c r="A493" s="37"/>
      <c r="B493" s="37"/>
      <c r="C493" s="37"/>
      <c r="D493" s="37"/>
      <c r="E493" s="37"/>
      <c r="F493" s="40" t="str">
        <f aca="false">IF(E493="","",ROUND(E493*0.2,2))</f>
        <v/>
      </c>
      <c r="G493" s="40" t="str">
        <f aca="false">IF(E493="","",E493+F493)</f>
        <v/>
      </c>
      <c r="H493" s="37"/>
      <c r="I493" s="37"/>
      <c r="J493" s="37" t="str">
        <f aca="false">IF(A493="","",MONTH(A493))</f>
        <v/>
      </c>
      <c r="K493" s="37" t="str">
        <f aca="false">IF(A493="","",YEAR(A493))</f>
        <v/>
      </c>
      <c r="L493" s="37"/>
    </row>
    <row r="494" customFormat="false" ht="21.75" hidden="false" customHeight="true" outlineLevel="0" collapsed="false">
      <c r="A494" s="42"/>
      <c r="B494" s="42"/>
      <c r="C494" s="42"/>
      <c r="D494" s="42"/>
      <c r="E494" s="42"/>
      <c r="F494" s="45" t="str">
        <f aca="false">IF(E494="","",ROUND(E494*0.2,2))</f>
        <v/>
      </c>
      <c r="G494" s="45" t="str">
        <f aca="false">IF(E494="","",E494+F494)</f>
        <v/>
      </c>
      <c r="H494" s="42"/>
      <c r="I494" s="42"/>
      <c r="J494" s="42" t="str">
        <f aca="false">IF(A494="","",MONTH(A494))</f>
        <v/>
      </c>
      <c r="K494" s="42" t="str">
        <f aca="false">IF(A494="","",YEAR(A494))</f>
        <v/>
      </c>
      <c r="L494" s="42"/>
    </row>
    <row r="495" customFormat="false" ht="21.75" hidden="false" customHeight="true" outlineLevel="0" collapsed="false">
      <c r="A495" s="37"/>
      <c r="B495" s="37"/>
      <c r="C495" s="37"/>
      <c r="D495" s="37"/>
      <c r="E495" s="37"/>
      <c r="F495" s="40" t="str">
        <f aca="false">IF(E495="","",ROUND(E495*0.2,2))</f>
        <v/>
      </c>
      <c r="G495" s="40" t="str">
        <f aca="false">IF(E495="","",E495+F495)</f>
        <v/>
      </c>
      <c r="H495" s="37"/>
      <c r="I495" s="37"/>
      <c r="J495" s="37" t="str">
        <f aca="false">IF(A495="","",MONTH(A495))</f>
        <v/>
      </c>
      <c r="K495" s="37" t="str">
        <f aca="false">IF(A495="","",YEAR(A495))</f>
        <v/>
      </c>
      <c r="L495" s="37"/>
    </row>
    <row r="496" customFormat="false" ht="21.75" hidden="false" customHeight="true" outlineLevel="0" collapsed="false">
      <c r="A496" s="42"/>
      <c r="B496" s="42"/>
      <c r="C496" s="42"/>
      <c r="D496" s="42"/>
      <c r="E496" s="42"/>
      <c r="F496" s="45" t="str">
        <f aca="false">IF(E496="","",ROUND(E496*0.2,2))</f>
        <v/>
      </c>
      <c r="G496" s="45" t="str">
        <f aca="false">IF(E496="","",E496+F496)</f>
        <v/>
      </c>
      <c r="H496" s="42"/>
      <c r="I496" s="42"/>
      <c r="J496" s="42" t="str">
        <f aca="false">IF(A496="","",MONTH(A496))</f>
        <v/>
      </c>
      <c r="K496" s="42" t="str">
        <f aca="false">IF(A496="","",YEAR(A496))</f>
        <v/>
      </c>
      <c r="L496" s="42"/>
    </row>
    <row r="497" customFormat="false" ht="21.75" hidden="false" customHeight="true" outlineLevel="0" collapsed="false">
      <c r="A497" s="37"/>
      <c r="B497" s="37"/>
      <c r="C497" s="37"/>
      <c r="D497" s="37"/>
      <c r="E497" s="37"/>
      <c r="F497" s="40" t="str">
        <f aca="false">IF(E497="","",ROUND(E497*0.2,2))</f>
        <v/>
      </c>
      <c r="G497" s="40" t="str">
        <f aca="false">IF(E497="","",E497+F497)</f>
        <v/>
      </c>
      <c r="H497" s="37"/>
      <c r="I497" s="37"/>
      <c r="J497" s="37" t="str">
        <f aca="false">IF(A497="","",MONTH(A497))</f>
        <v/>
      </c>
      <c r="K497" s="37" t="str">
        <f aca="false">IF(A497="","",YEAR(A497))</f>
        <v/>
      </c>
      <c r="L497" s="37"/>
    </row>
    <row r="498" customFormat="false" ht="21.75" hidden="false" customHeight="true" outlineLevel="0" collapsed="false">
      <c r="A498" s="42"/>
      <c r="B498" s="42"/>
      <c r="C498" s="42"/>
      <c r="D498" s="42"/>
      <c r="E498" s="42"/>
      <c r="F498" s="45" t="str">
        <f aca="false">IF(E498="","",ROUND(E498*0.2,2))</f>
        <v/>
      </c>
      <c r="G498" s="45" t="str">
        <f aca="false">IF(E498="","",E498+F498)</f>
        <v/>
      </c>
      <c r="H498" s="42"/>
      <c r="I498" s="42"/>
      <c r="J498" s="42" t="str">
        <f aca="false">IF(A498="","",MONTH(A498))</f>
        <v/>
      </c>
      <c r="K498" s="42" t="str">
        <f aca="false">IF(A498="","",YEAR(A498))</f>
        <v/>
      </c>
      <c r="L498" s="42"/>
    </row>
    <row r="499" customFormat="false" ht="21.75" hidden="false" customHeight="true" outlineLevel="0" collapsed="false">
      <c r="A499" s="37"/>
      <c r="B499" s="37"/>
      <c r="C499" s="37"/>
      <c r="D499" s="37"/>
      <c r="E499" s="37"/>
      <c r="F499" s="40" t="str">
        <f aca="false">IF(E499="","",ROUND(E499*0.2,2))</f>
        <v/>
      </c>
      <c r="G499" s="40" t="str">
        <f aca="false">IF(E499="","",E499+F499)</f>
        <v/>
      </c>
      <c r="H499" s="37"/>
      <c r="I499" s="37"/>
      <c r="J499" s="37" t="str">
        <f aca="false">IF(A499="","",MONTH(A499))</f>
        <v/>
      </c>
      <c r="K499" s="37" t="str">
        <f aca="false">IF(A499="","",YEAR(A499))</f>
        <v/>
      </c>
      <c r="L499" s="37"/>
    </row>
    <row r="500" customFormat="false" ht="21.75" hidden="false" customHeight="true" outlineLevel="0" collapsed="false">
      <c r="A500" s="42"/>
      <c r="B500" s="42"/>
      <c r="C500" s="42"/>
      <c r="D500" s="42"/>
      <c r="E500" s="42"/>
      <c r="F500" s="45" t="str">
        <f aca="false">IF(E500="","",ROUND(E500*0.2,2))</f>
        <v/>
      </c>
      <c r="G500" s="45" t="str">
        <f aca="false">IF(E500="","",E500+F500)</f>
        <v/>
      </c>
      <c r="H500" s="42"/>
      <c r="I500" s="42"/>
      <c r="J500" s="42" t="str">
        <f aca="false">IF(A500="","",MONTH(A500))</f>
        <v/>
      </c>
      <c r="K500" s="42" t="str">
        <f aca="false">IF(A500="","",YEAR(A500))</f>
        <v/>
      </c>
      <c r="L500" s="42"/>
    </row>
    <row r="501" customFormat="false" ht="21.75" hidden="false" customHeight="true" outlineLevel="0" collapsed="false">
      <c r="A501" s="37"/>
      <c r="B501" s="37"/>
      <c r="C501" s="37"/>
      <c r="D501" s="37"/>
      <c r="E501" s="37"/>
      <c r="F501" s="40" t="str">
        <f aca="false">IF(E501="","",ROUND(E501*0.2,2))</f>
        <v/>
      </c>
      <c r="G501" s="40" t="str">
        <f aca="false">IF(E501="","",E501+F501)</f>
        <v/>
      </c>
      <c r="H501" s="37"/>
      <c r="I501" s="37"/>
      <c r="J501" s="37" t="str">
        <f aca="false">IF(A501="","",MONTH(A501))</f>
        <v/>
      </c>
      <c r="K501" s="37" t="str">
        <f aca="false">IF(A501="","",YEAR(A501))</f>
        <v/>
      </c>
      <c r="L501" s="37"/>
    </row>
    <row r="502" customFormat="false" ht="21.75" hidden="false" customHeight="true" outlineLevel="0" collapsed="false">
      <c r="A502" s="42"/>
      <c r="B502" s="42"/>
      <c r="C502" s="42"/>
      <c r="D502" s="42"/>
      <c r="E502" s="42"/>
      <c r="F502" s="45" t="str">
        <f aca="false">IF(E502="","",ROUND(E502*0.2,2))</f>
        <v/>
      </c>
      <c r="G502" s="45" t="str">
        <f aca="false">IF(E502="","",E502+F502)</f>
        <v/>
      </c>
      <c r="H502" s="42"/>
      <c r="I502" s="42"/>
      <c r="J502" s="42" t="str">
        <f aca="false">IF(A502="","",MONTH(A502))</f>
        <v/>
      </c>
      <c r="K502" s="42" t="str">
        <f aca="false">IF(A502="","",YEAR(A502))</f>
        <v/>
      </c>
      <c r="L502" s="42"/>
    </row>
  </sheetData>
  <mergeCells count="2">
    <mergeCell ref="A1:L1"/>
    <mergeCell ref="N1:O1"/>
  </mergeCells>
  <dataValidations count="1">
    <dataValidation allowBlank="false" errorStyle="stop" operator="between" showDropDown="false" showErrorMessage="false" showInputMessage="false" sqref="B3:B1502" type="list">
      <formula1>"Publicité,Achats véhicules,Réparations,Préparation,Transport,Carburant,Loyer,Salaires,Assurance,Fournitures,Carte grise,Formation,Divers"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A261"/>
    <pageSetUpPr fitToPage="false"/>
  </sheetPr>
  <dimension ref="B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5" min="2" style="1" width="22"/>
    <col collapsed="false" customWidth="true" hidden="false" outlineLevel="0" max="6" min="6" style="1" width="2"/>
  </cols>
  <sheetData>
    <row r="1" customFormat="false" ht="7.5" hidden="false" customHeight="true" outlineLevel="0" collapsed="false"/>
    <row r="2" customFormat="false" ht="64.5" hidden="false" customHeight="true" outlineLevel="0" collapsed="false">
      <c r="B2" s="65" t="s">
        <v>146</v>
      </c>
      <c r="C2" s="65"/>
      <c r="D2" s="65"/>
      <c r="E2" s="66" t="s">
        <v>147</v>
      </c>
    </row>
    <row r="3" customFormat="false" ht="34.5" hidden="false" customHeight="true" outlineLevel="0" collapsed="false">
      <c r="B3" s="3" t="s">
        <v>148</v>
      </c>
      <c r="C3" s="3"/>
      <c r="D3" s="3"/>
      <c r="E3" s="3"/>
    </row>
    <row r="4" customFormat="false" ht="27.75" hidden="false" customHeight="true" outlineLevel="0" collapsed="false">
      <c r="B4" s="67" t="s">
        <v>149</v>
      </c>
      <c r="C4" s="67"/>
      <c r="D4" s="67"/>
      <c r="E4" s="67"/>
    </row>
    <row r="5" customFormat="false" ht="9.75" hidden="false" customHeight="true" outlineLevel="0" collapsed="false"/>
    <row r="6" customFormat="false" ht="27.75" hidden="false" customHeight="true" outlineLevel="0" collapsed="false">
      <c r="B6" s="68" t="s">
        <v>150</v>
      </c>
      <c r="C6" s="68"/>
      <c r="D6" s="68" t="s">
        <v>151</v>
      </c>
      <c r="E6" s="68"/>
    </row>
    <row r="7" customFormat="false" ht="24.75" hidden="false" customHeight="true" outlineLevel="0" collapsed="false">
      <c r="B7" s="69" t="s">
        <v>152</v>
      </c>
      <c r="C7" s="70"/>
      <c r="D7" s="69" t="s">
        <v>153</v>
      </c>
      <c r="E7" s="70"/>
    </row>
    <row r="8" customFormat="false" ht="24.75" hidden="false" customHeight="true" outlineLevel="0" collapsed="false">
      <c r="B8" s="69" t="s">
        <v>154</v>
      </c>
      <c r="C8" s="70"/>
      <c r="D8" s="69" t="s">
        <v>155</v>
      </c>
      <c r="E8" s="70"/>
    </row>
    <row r="9" customFormat="false" ht="24.75" hidden="false" customHeight="true" outlineLevel="0" collapsed="false">
      <c r="B9" s="69" t="s">
        <v>156</v>
      </c>
      <c r="C9" s="70"/>
      <c r="D9" s="69" t="s">
        <v>157</v>
      </c>
      <c r="E9" s="70"/>
    </row>
    <row r="10" customFormat="false" ht="24.75" hidden="false" customHeight="true" outlineLevel="0" collapsed="false">
      <c r="D10" s="69" t="s">
        <v>158</v>
      </c>
      <c r="E10" s="70"/>
    </row>
    <row r="11" customFormat="false" ht="24.75" hidden="false" customHeight="true" outlineLevel="0" collapsed="false">
      <c r="D11" s="69" t="s">
        <v>159</v>
      </c>
      <c r="E11" s="70"/>
    </row>
    <row r="12" customFormat="false" ht="27.75" hidden="false" customHeight="true" outlineLevel="0" collapsed="false"/>
    <row r="13" customFormat="false" ht="27.75" hidden="false" customHeight="true" outlineLevel="0" collapsed="false"/>
    <row r="14" customFormat="false" ht="27.75" hidden="false" customHeight="true" outlineLevel="0" collapsed="false"/>
    <row r="15" customFormat="false" ht="27.75" hidden="false" customHeight="true" outlineLevel="0" collapsed="false"/>
    <row r="16" customFormat="false" ht="9.75" hidden="false" customHeight="true" outlineLevel="0" collapsed="false">
      <c r="B16" s="71" t="s">
        <v>160</v>
      </c>
      <c r="C16" s="71"/>
      <c r="D16" s="71"/>
      <c r="E16" s="71"/>
    </row>
    <row r="17" customFormat="false" ht="30" hidden="false" customHeight="true" outlineLevel="0" collapsed="false">
      <c r="B17" s="72" t="s">
        <v>161</v>
      </c>
      <c r="C17" s="72"/>
      <c r="D17" s="72"/>
      <c r="E17" s="73"/>
    </row>
    <row r="18" customFormat="false" ht="30" hidden="false" customHeight="true" outlineLevel="0" collapsed="false">
      <c r="B18" s="72" t="s">
        <v>162</v>
      </c>
      <c r="C18" s="72"/>
      <c r="D18" s="72"/>
      <c r="E18" s="74"/>
    </row>
    <row r="19" customFormat="false" ht="30" hidden="false" customHeight="true" outlineLevel="0" collapsed="false">
      <c r="B19" s="72" t="s">
        <v>163</v>
      </c>
      <c r="C19" s="72"/>
      <c r="D19" s="72"/>
      <c r="E19" s="73"/>
    </row>
    <row r="20" customFormat="false" ht="30" hidden="false" customHeight="true" outlineLevel="0" collapsed="false">
      <c r="B20" s="75" t="s">
        <v>164</v>
      </c>
      <c r="C20" s="75"/>
      <c r="D20" s="75"/>
      <c r="E20" s="76"/>
    </row>
    <row r="21" customFormat="false" ht="30" hidden="false" customHeight="true" outlineLevel="0" collapsed="false"/>
    <row r="22" customFormat="false" ht="9.75" hidden="false" customHeight="true" outlineLevel="0" collapsed="false"/>
    <row r="23" customFormat="false" ht="49.5" hidden="false" customHeight="true" outlineLevel="0" collapsed="false">
      <c r="B23" s="77" t="s">
        <v>165</v>
      </c>
      <c r="C23" s="77"/>
      <c r="D23" s="77"/>
      <c r="E23" s="77"/>
    </row>
    <row r="24" customFormat="false" ht="9.75" hidden="false" customHeight="true" outlineLevel="0" collapsed="false"/>
    <row r="25" customFormat="false" ht="60" hidden="false" customHeight="true" outlineLevel="0" collapsed="false">
      <c r="B25" s="78" t="s">
        <v>166</v>
      </c>
      <c r="C25" s="78"/>
      <c r="D25" s="78" t="s">
        <v>167</v>
      </c>
      <c r="E25" s="78"/>
    </row>
  </sheetData>
  <mergeCells count="13">
    <mergeCell ref="B2:D2"/>
    <mergeCell ref="B3:E3"/>
    <mergeCell ref="B4:E4"/>
    <mergeCell ref="B6:C6"/>
    <mergeCell ref="D6:E6"/>
    <mergeCell ref="B16:E16"/>
    <mergeCell ref="B17:D17"/>
    <mergeCell ref="B18:D18"/>
    <mergeCell ref="B19:D19"/>
    <mergeCell ref="B20:D20"/>
    <mergeCell ref="B23:E23"/>
    <mergeCell ref="B25:C25"/>
    <mergeCell ref="D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B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35"/>
    <col collapsed="false" customWidth="true" hidden="false" outlineLevel="0" max="4" min="4" style="1" width="3"/>
  </cols>
  <sheetData>
    <row r="1" customFormat="false" ht="49.5" hidden="false" customHeight="true" outlineLevel="0" collapsed="false">
      <c r="B1" s="79" t="s">
        <v>168</v>
      </c>
      <c r="C1" s="79"/>
    </row>
    <row r="3" customFormat="false" ht="30" hidden="false" customHeight="true" outlineLevel="0" collapsed="false">
      <c r="B3" s="80" t="s">
        <v>169</v>
      </c>
      <c r="C3" s="80"/>
    </row>
    <row r="4" customFormat="false" ht="27.75" hidden="false" customHeight="true" outlineLevel="0" collapsed="false">
      <c r="B4" s="81" t="s">
        <v>170</v>
      </c>
      <c r="C4" s="82" t="s">
        <v>171</v>
      </c>
    </row>
    <row r="5" customFormat="false" ht="27.75" hidden="false" customHeight="true" outlineLevel="0" collapsed="false">
      <c r="B5" s="81" t="s">
        <v>172</v>
      </c>
      <c r="C5" s="82"/>
    </row>
    <row r="6" customFormat="false" ht="27.75" hidden="false" customHeight="true" outlineLevel="0" collapsed="false">
      <c r="B6" s="81" t="s">
        <v>173</v>
      </c>
      <c r="C6" s="82"/>
    </row>
    <row r="7" customFormat="false" ht="27.75" hidden="false" customHeight="true" outlineLevel="0" collapsed="false">
      <c r="B7" s="81" t="s">
        <v>174</v>
      </c>
      <c r="C7" s="82"/>
    </row>
    <row r="8" customFormat="false" ht="27.75" hidden="false" customHeight="true" outlineLevel="0" collapsed="false">
      <c r="B8" s="81" t="s">
        <v>175</v>
      </c>
      <c r="C8" s="82"/>
    </row>
    <row r="9" customFormat="false" ht="27.75" hidden="false" customHeight="true" outlineLevel="0" collapsed="false">
      <c r="B9" s="81" t="s">
        <v>78</v>
      </c>
      <c r="C9" s="82"/>
    </row>
    <row r="10" customFormat="false" ht="27.75" hidden="false" customHeight="true" outlineLevel="0" collapsed="false">
      <c r="B10" s="81" t="s">
        <v>76</v>
      </c>
      <c r="C10" s="82"/>
    </row>
    <row r="11" customFormat="false" ht="27.75" hidden="false" customHeight="true" outlineLevel="0" collapsed="false">
      <c r="B11" s="81" t="s">
        <v>77</v>
      </c>
      <c r="C11" s="82"/>
    </row>
    <row r="12" customFormat="false" ht="27.75" hidden="false" customHeight="true" outlineLevel="0" collapsed="false">
      <c r="B12" s="81" t="s">
        <v>176</v>
      </c>
      <c r="C12" s="82"/>
    </row>
    <row r="14" customFormat="false" ht="30" hidden="false" customHeight="true" outlineLevel="0" collapsed="false">
      <c r="B14" s="80" t="s">
        <v>177</v>
      </c>
      <c r="C14" s="80"/>
    </row>
    <row r="15" customFormat="false" ht="27.75" hidden="false" customHeight="true" outlineLevel="0" collapsed="false">
      <c r="B15" s="81" t="s">
        <v>178</v>
      </c>
      <c r="C15" s="82"/>
    </row>
    <row r="16" customFormat="false" ht="27.75" hidden="false" customHeight="true" outlineLevel="0" collapsed="false">
      <c r="B16" s="81" t="s">
        <v>179</v>
      </c>
      <c r="C16" s="82"/>
    </row>
    <row r="17" customFormat="false" ht="27.75" hidden="false" customHeight="true" outlineLevel="0" collapsed="false">
      <c r="B17" s="81" t="s">
        <v>180</v>
      </c>
      <c r="C17" s="82"/>
    </row>
    <row r="19" customFormat="false" ht="30" hidden="false" customHeight="true" outlineLevel="0" collapsed="false">
      <c r="B19" s="80" t="s">
        <v>181</v>
      </c>
      <c r="C19" s="80"/>
    </row>
    <row r="20" customFormat="false" ht="27.75" hidden="false" customHeight="true" outlineLevel="0" collapsed="false">
      <c r="B20" s="81" t="s">
        <v>182</v>
      </c>
      <c r="C20" s="82" t="s">
        <v>183</v>
      </c>
    </row>
    <row r="21" customFormat="false" ht="27.75" hidden="false" customHeight="true" outlineLevel="0" collapsed="false">
      <c r="B21" s="81" t="s">
        <v>184</v>
      </c>
      <c r="C21" s="82" t="s">
        <v>185</v>
      </c>
    </row>
    <row r="22" customFormat="false" ht="27.75" hidden="false" customHeight="true" outlineLevel="0" collapsed="false">
      <c r="B22" s="81" t="s">
        <v>186</v>
      </c>
      <c r="C22" s="82"/>
    </row>
    <row r="23" customFormat="false" ht="27.75" hidden="false" customHeight="true" outlineLevel="0" collapsed="false">
      <c r="B23" s="81" t="s">
        <v>187</v>
      </c>
      <c r="C23" s="82"/>
    </row>
    <row r="24" customFormat="false" ht="27.75" hidden="false" customHeight="true" outlineLevel="0" collapsed="false">
      <c r="B24" s="81" t="s">
        <v>188</v>
      </c>
      <c r="C24" s="82" t="s">
        <v>189</v>
      </c>
    </row>
  </sheetData>
  <mergeCells count="4">
    <mergeCell ref="B1:C1"/>
    <mergeCell ref="B3:C3"/>
    <mergeCell ref="B14:C14"/>
    <mergeCell ref="B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C653"/>
    <pageSetUpPr fitToPage="false"/>
  </sheetPr>
  <dimension ref="B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55"/>
    <col collapsed="false" customWidth="true" hidden="false" outlineLevel="0" max="4" min="4" style="1" width="3"/>
  </cols>
  <sheetData>
    <row r="1" customFormat="false" ht="60" hidden="false" customHeight="true" outlineLevel="0" collapsed="false">
      <c r="B1" s="83" t="s">
        <v>190</v>
      </c>
      <c r="C1" s="83"/>
    </row>
    <row r="3" customFormat="false" ht="31.5" hidden="false" customHeight="true" outlineLevel="0" collapsed="false">
      <c r="B3" s="84" t="s">
        <v>191</v>
      </c>
      <c r="C3" s="84"/>
    </row>
    <row r="5" customFormat="false" ht="30" hidden="false" customHeight="true" outlineLevel="0" collapsed="false">
      <c r="B5" s="85" t="s">
        <v>192</v>
      </c>
      <c r="C5" s="86" t="s">
        <v>193</v>
      </c>
    </row>
    <row r="6" customFormat="false" ht="30" hidden="false" customHeight="true" outlineLevel="0" collapsed="false">
      <c r="B6" s="85" t="s">
        <v>194</v>
      </c>
      <c r="C6" s="86" t="s">
        <v>195</v>
      </c>
    </row>
    <row r="7" customFormat="false" ht="30" hidden="false" customHeight="true" outlineLevel="0" collapsed="false">
      <c r="B7" s="85" t="s">
        <v>196</v>
      </c>
      <c r="C7" s="86" t="s">
        <v>197</v>
      </c>
    </row>
    <row r="8" customFormat="false" ht="30" hidden="false" customHeight="true" outlineLevel="0" collapsed="false">
      <c r="B8" s="85" t="s">
        <v>198</v>
      </c>
      <c r="C8" s="86" t="s">
        <v>199</v>
      </c>
    </row>
    <row r="9" customFormat="false" ht="30" hidden="false" customHeight="true" outlineLevel="0" collapsed="false">
      <c r="B9" s="85" t="s">
        <v>200</v>
      </c>
      <c r="C9" s="86" t="s">
        <v>201</v>
      </c>
    </row>
    <row r="10" customFormat="false" ht="30" hidden="false" customHeight="true" outlineLevel="0" collapsed="false">
      <c r="B10" s="85" t="s">
        <v>202</v>
      </c>
      <c r="C10" s="86" t="s">
        <v>203</v>
      </c>
    </row>
    <row r="11" customFormat="false" ht="30" hidden="false" customHeight="true" outlineLevel="0" collapsed="false">
      <c r="B11" s="85" t="s">
        <v>204</v>
      </c>
      <c r="C11" s="86" t="s">
        <v>205</v>
      </c>
    </row>
    <row r="12" customFormat="false" ht="30" hidden="false" customHeight="true" outlineLevel="0" collapsed="false">
      <c r="B12" s="85" t="s">
        <v>206</v>
      </c>
      <c r="C12" s="86" t="s">
        <v>207</v>
      </c>
    </row>
    <row r="13" customFormat="false" ht="31.5" hidden="false" customHeight="true" outlineLevel="0" collapsed="false">
      <c r="B13" s="84" t="s">
        <v>208</v>
      </c>
      <c r="C13" s="84"/>
    </row>
    <row r="15" customFormat="false" ht="30" hidden="false" customHeight="true" outlineLevel="0" collapsed="false">
      <c r="B15" s="85" t="s">
        <v>60</v>
      </c>
      <c r="C15" s="86" t="s">
        <v>209</v>
      </c>
    </row>
    <row r="16" customFormat="false" ht="30" hidden="false" customHeight="true" outlineLevel="0" collapsed="false">
      <c r="B16" s="85" t="s">
        <v>210</v>
      </c>
      <c r="C16" s="86" t="s">
        <v>211</v>
      </c>
    </row>
    <row r="17" customFormat="false" ht="30" hidden="false" customHeight="true" outlineLevel="0" collapsed="false">
      <c r="B17" s="85" t="s">
        <v>212</v>
      </c>
      <c r="C17" s="86" t="s">
        <v>213</v>
      </c>
    </row>
    <row r="18" customFormat="false" ht="30" hidden="false" customHeight="true" outlineLevel="0" collapsed="false">
      <c r="B18" s="85" t="s">
        <v>214</v>
      </c>
      <c r="C18" s="86" t="s">
        <v>215</v>
      </c>
    </row>
    <row r="19" customFormat="false" ht="30" hidden="false" customHeight="true" outlineLevel="0" collapsed="false">
      <c r="B19" s="85" t="s">
        <v>216</v>
      </c>
      <c r="C19" s="86" t="s">
        <v>217</v>
      </c>
    </row>
    <row r="20" customFormat="false" ht="31.5" hidden="false" customHeight="true" outlineLevel="0" collapsed="false">
      <c r="B20" s="84" t="s">
        <v>218</v>
      </c>
      <c r="C20" s="84"/>
    </row>
    <row r="22" customFormat="false" ht="30" hidden="false" customHeight="true" outlineLevel="0" collapsed="false">
      <c r="B22" s="85" t="s">
        <v>219</v>
      </c>
      <c r="C22" s="86" t="s">
        <v>220</v>
      </c>
    </row>
    <row r="23" customFormat="false" ht="30" hidden="false" customHeight="true" outlineLevel="0" collapsed="false">
      <c r="B23" s="85" t="s">
        <v>221</v>
      </c>
      <c r="C23" s="86" t="s">
        <v>222</v>
      </c>
    </row>
    <row r="24" customFormat="false" ht="30" hidden="false" customHeight="true" outlineLevel="0" collapsed="false">
      <c r="B24" s="85" t="s">
        <v>223</v>
      </c>
      <c r="C24" s="86" t="s">
        <v>224</v>
      </c>
    </row>
    <row r="25" customFormat="false" ht="30" hidden="false" customHeight="true" outlineLevel="0" collapsed="false">
      <c r="B25" s="85" t="s">
        <v>225</v>
      </c>
      <c r="C25" s="86" t="s">
        <v>226</v>
      </c>
    </row>
    <row r="26" customFormat="false" ht="30" hidden="false" customHeight="true" outlineLevel="0" collapsed="false">
      <c r="B26" s="85" t="s">
        <v>227</v>
      </c>
      <c r="C26" s="86" t="s">
        <v>228</v>
      </c>
    </row>
  </sheetData>
  <mergeCells count="4">
    <mergeCell ref="B1:C1"/>
    <mergeCell ref="B3:C3"/>
    <mergeCell ref="B13:C13"/>
    <mergeCell ref="B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2026-06-01T10:47:20Z</dcterms:created>
  <dc:creator>openpyxl</dc:creator>
  <dc:description/>
  <dc:language>en-US</dc:language>
  <cp:lastModifiedBy/>
  <dcterms:modified xsi:type="dcterms:W3CDTF">2026-06-01T10:48:26Z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